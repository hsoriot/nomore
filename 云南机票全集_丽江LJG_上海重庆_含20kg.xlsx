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dd97ab5f234b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上海全集" sheetId="1" r:id="Rfa90fbdc281e45ed"/>
    <x:sheet xmlns:r="http://schemas.openxmlformats.org/officeDocument/2006/relationships" name="上海TOP10" sheetId="2" r:id="R8b9ac34cf037402e"/>
    <x:sheet xmlns:r="http://schemas.openxmlformats.org/officeDocument/2006/relationships" name="重庆全集" sheetId="3" r:id="Rcbab7c02625c4ac9"/>
    <x:sheet xmlns:r="http://schemas.openxmlformats.org/officeDocument/2006/relationships" name="重庆TOP10" sheetId="4" r:id="R88901630517441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¥#,##0"/>
    <x:numFmt numFmtId="201" formatCode="yyyy-mm-dd hh:mm"/>
    <x:numFmt numFmtId="202" formatCode="yyyy-mm-dd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042"/>
      <x:name val="Carlito"/>
    </x:font>
    <x:font>
      <x:b/>
      <x:sz val="11"/>
      <x:color rgb="FF173042"/>
      <x:name val="Carlito"/>
    </x:font>
    <x:font>
      <x:sz val="11"/>
      <x:color rgb="FF6B4E00"/>
      <x:name val="Carlito"/>
    </x:font>
    <x:font>
      <x:sz val="9"/>
      <x:color rgb="FF475569"/>
      <x:name val="Carlito"/>
    </x:font>
    <x:font>
      <x:b/>
      <x:sz val="11"/>
      <x:color rgb="FFFFFFFF"/>
      <x:name val="Carlito"/>
    </x:font>
    <x:font>
      <x:b/>
      <x:sz val="16"/>
      <x:color rgb="FFFFFFFF"/>
      <x:name val="Noto Sans CJK SC"/>
    </x:font>
    <x:font>
      <x:i/>
      <x:sz val="11"/>
      <x:color rgb="FF173042"/>
      <x:name val="Noto Sans CJK SC"/>
    </x:font>
    <x:font>
      <x:b/>
      <x:sz val="11"/>
      <x:color rgb="FF173042"/>
      <x:name val="Noto Sans CJK SC"/>
    </x:font>
    <x:font>
      <x:sz val="11"/>
      <x:name val="Noto Sans CJK SC"/>
    </x:font>
    <x:font>
      <x:sz val="11"/>
      <x:color rgb="FF6B4E00"/>
      <x:name val="Noto Sans CJK SC"/>
    </x:font>
    <x:font>
      <x:sz val="9"/>
      <x:color rgb="FF475569"/>
      <x:name val="Noto Sans CJK SC"/>
    </x:font>
    <x:font>
      <x:b/>
      <x:sz val="11"/>
      <x:color rgb="FFFFFFFF"/>
      <x:name val="Noto Sans CJK SC"/>
    </x:font>
  </x:fonts>
  <x:fills count="13">
    <x:fill>
      <x:patternFill patternType="none"/>
    </x:fill>
    <x:fill>
      <x:patternFill patternType="gray125"/>
    </x:fill>
    <x:fill>
      <x:patternFill patternType="solid">
        <x:fgColor rgb="FF123B46"/>
      </x:patternFill>
    </x:fill>
    <x:fill>
      <x:patternFill patternType="solid">
        <x:fgColor rgb="FFDDF4EF"/>
      </x:patternFill>
    </x:fill>
    <x:fill>
      <x:patternFill patternType="solid">
        <x:fgColor rgb="FFF4F8F7"/>
      </x:patternFill>
    </x:fill>
    <x:fill>
      <x:patternFill patternType="solid">
        <x:fgColor rgb="FFFFF7D6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123B46"/>
      </x:patternFill>
    </x:fill>
    <x:fill>
      <x:patternFill patternType="solid">
        <x:fgColor rgb="FFDDF4EF"/>
      </x:patternFill>
    </x:fill>
    <x:fill>
      <x:patternFill patternType="solid">
        <x:fgColor rgb="FFFFF7D6"/>
      </x:patternFill>
    </x:fill>
    <x:fill>
      <x:patternFill patternType="solid">
        <x:fgColor rgb="FFF8FAFC"/>
      </x:patternFill>
    </x:fill>
    <x:fill>
      <x:patternFill patternType="solid">
        <x:fgColor rgb="FF155E75"/>
      </x:patternFill>
    </x:fill>
  </x:fills>
  <x:borders count="16">
    <x:border/>
    <x:border>
      <x:left style="thin">
        <x:color rgb="FF0A5E58"/>
      </x:left>
      <x:top style="thin">
        <x:color rgb="FF0A5E58"/>
      </x:top>
      <x:bottom style="thin">
        <x:color rgb="FF0A5E58"/>
      </x:bottom>
    </x:border>
    <x:border>
      <x:top style="thin">
        <x:color rgb="FF0A5E58"/>
      </x:top>
      <x:bottom style="thin">
        <x:color rgb="FF0A5E58"/>
      </x:bottom>
    </x:border>
    <x:border>
      <x:right style="thin">
        <x:color rgb="FF0A5E58"/>
      </x:right>
      <x:top style="thin">
        <x:color rgb="FF0A5E58"/>
      </x:top>
      <x:bottom style="thin">
        <x:color rgb="FF0A5E58"/>
      </x:bottom>
    </x:border>
    <x:border>
      <x:right style="thin">
        <x:color rgb="FFD7E3E0"/>
      </x:right>
      <x:bottom style="thin">
        <x:color rgb="FFD7E3E0"/>
      </x:bottom>
    </x:border>
    <x:border>
      <x:left style="thin">
        <x:color rgb="FFD7E3E0"/>
      </x:left>
      <x:right style="thin">
        <x:color rgb="FFD7E3E0"/>
      </x:right>
      <x:bottom style="thin">
        <x:color rgb="FFD7E3E0"/>
      </x:bottom>
    </x:border>
    <x:border>
      <x:left style="thin">
        <x:color rgb="FFD7E3E0"/>
      </x:left>
      <x:bottom style="thin">
        <x:color rgb="FFD7E3E0"/>
      </x:bottom>
    </x:border>
    <x:border>
      <x:right style="thin">
        <x:color rgb="FFD7E3E0"/>
      </x:right>
      <x:top style="thin">
        <x:color rgb="FFD7E3E0"/>
      </x:top>
      <x:bottom style="thin">
        <x:color rgb="FFD7E3E0"/>
      </x:bottom>
    </x:border>
    <x:border>
      <x:left style="thin">
        <x:color rgb="FFD7E3E0"/>
      </x:left>
      <x:right style="thin">
        <x:color rgb="FFD7E3E0"/>
      </x:right>
      <x:top style="thin">
        <x:color rgb="FFD7E3E0"/>
      </x:top>
      <x:bottom style="thin">
        <x:color rgb="FFD7E3E0"/>
      </x:bottom>
    </x:border>
    <x:border>
      <x:left style="thin">
        <x:color rgb="FFD7E3E0"/>
      </x:left>
      <x:top style="thin">
        <x:color rgb="FFD7E3E0"/>
      </x:top>
      <x:bottom style="thin">
        <x:color rgb="FFD7E3E0"/>
      </x:bottom>
    </x:border>
    <x:border>
      <x:right style="thin">
        <x:color rgb="FFD7E3E0"/>
      </x:right>
      <x:top style="thin">
        <x:color rgb="FFD7E3E0"/>
      </x:top>
    </x:border>
    <x:border>
      <x:left style="thin">
        <x:color rgb="FFD7E3E0"/>
      </x:left>
      <x:right style="thin">
        <x:color rgb="FFD7E3E0"/>
      </x:right>
      <x:top style="thin">
        <x:color rgb="FFD7E3E0"/>
      </x:top>
    </x:border>
    <x:border>
      <x:left style="thin">
        <x:color rgb="FFD7E3E0"/>
      </x:left>
      <x:top style="thin">
        <x:color rgb="FFD7E3E0"/>
      </x:top>
    </x:border>
    <x:border>
      <x:left style="thin">
        <x:color rgb="FF0E4B5E"/>
      </x:left>
      <x:top style="thin">
        <x:color rgb="FF0E4B5E"/>
      </x:top>
      <x:bottom style="thin">
        <x:color rgb="FF0E4B5E"/>
      </x:bottom>
    </x:border>
    <x:border>
      <x:top style="thin">
        <x:color rgb="FF0E4B5E"/>
      </x:top>
      <x:bottom style="thin">
        <x:color rgb="FF0E4B5E"/>
      </x:bottom>
    </x:border>
    <x:border>
      <x:right style="thin">
        <x:color rgb="FF0E4B5E"/>
      </x:right>
      <x:top style="thin">
        <x:color rgb="FF0E4B5E"/>
      </x:top>
      <x:bottom style="thin">
        <x:color rgb="FF0E4B5E"/>
      </x:bottom>
    </x:border>
  </x:borders>
  <x:cellStyleXfs count="1">
    <x:xf numFmtId="0" fontId="0" fillId="0" borderId="0"/>
  </x:cellStyleXfs>
  <x:cellXfs count="1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2" xfId="0" applyNumberFormat="1" applyFont="1" applyFill="1" applyBorder="1"/>
    <x:xf numFmtId="0" fontId="6" fillId="7" borderId="3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2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horizontal="center" wrapText="1"/>
    </x:xf>
    <x:xf numFmtId="0" fontId="6" fillId="7" borderId="2" xfId="0" applyNumberFormat="1" applyFont="1" applyFill="1" applyBorder="1" applyAlignment="1">
      <x:alignment horizontal="center" wrapText="1"/>
    </x:xf>
    <x:xf numFmtId="0" fontId="6" fillId="7" borderId="3" xfId="0" applyNumberFormat="1" applyFont="1" applyFill="1" applyBorder="1" applyAlignment="1">
      <x:alignment horizont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6" fillId="7" borderId="2" xfId="0" applyNumberFormat="1" applyFont="1" applyFill="1" applyBorder="1" applyAlignment="1">
      <x:alignment horizontal="center" vertical="center" wrapText="1"/>
    </x:xf>
    <x:xf numFmtId="0" fontId="6" fillId="7" borderId="3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4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  <x:xf numFmtId="201" fontId="0" fillId="0" borderId="5" xfId="0" applyNumberFormat="1" applyFont="1" applyFill="1" applyBorder="1"/>
    <x:xf numFmtId="0" fontId="0" fillId="0" borderId="6" xfId="0" applyNumberFormat="1" applyFont="1" applyFill="1" applyBorder="1" applyAlignment="1">
      <x:alignment wrapText="0"/>
    </x:xf>
    <x:xf numFmtId="0" fontId="0" fillId="0" borderId="7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/>
    <x:xf numFmtId="0" fontId="0" fillId="0" borderId="9" xfId="0" applyNumberFormat="1" applyFont="1" applyFill="1" applyBorder="1" applyAlignment="1">
      <x:alignment wrapText="0"/>
    </x:xf>
    <x:xf numFmtId="0" fontId="0" fillId="0" borderId="10" xfId="0" applyNumberFormat="1" applyFont="1" applyFill="1" applyBorder="1" applyAlignment="1">
      <x:alignment vertical="center"/>
    </x:xf>
    <x:xf numFmtId="202" fontId="0" fillId="0" borderId="11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wrapText="1"/>
    </x:xf>
    <x:xf numFmtId="201" fontId="0" fillId="0" borderId="11" xfId="0" applyNumberFormat="1" applyFont="1" applyFill="1" applyBorder="1"/>
    <x:xf numFmtId="0" fontId="0" fillId="0" borderId="12" xfId="0" applyNumberFormat="1" applyFont="1" applyFill="1" applyBorder="1" applyAlignment="1">
      <x:alignment wrapText="0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/>
    </x:xf>
    <x:xf numFmtId="200" fontId="9" fillId="4" borderId="0" xfId="0" applyNumberFormat="1" applyFont="1" applyFill="1" applyBorder="1" applyAlignment="1">
      <x:alignment vertical="center"/>
    </x:xf>
    <x:xf numFmtId="201" fontId="9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5" borderId="0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wrapText="1"/>
    </x:xf>
    <x:xf numFmtId="0" fontId="13" fillId="7" borderId="1" xfId="0" applyNumberFormat="1" applyFont="1" applyFill="1" applyBorder="1" applyAlignment="1">
      <x:alignment horizontal="center" vertical="center" wrapText="1"/>
    </x:xf>
    <x:xf numFmtId="0" fontId="13" fillId="7" borderId="2" xfId="0" applyNumberFormat="1" applyFont="1" applyFill="1" applyBorder="1" applyAlignment="1">
      <x:alignment horizontal="center" vertical="center" wrapText="1"/>
    </x:xf>
    <x:xf numFmtId="0" fontId="13" fillId="7" borderId="3" xfId="0" applyNumberFormat="1" applyFont="1" applyFill="1" applyBorder="1" applyAlignment="1">
      <x:alignment horizontal="center" vertical="center" wrapText="1"/>
    </x:xf>
    <x:xf numFmtId="0" fontId="10" fillId="0" borderId="4" xfId="0" applyNumberFormat="1" applyFont="1" applyFill="1" applyBorder="1" applyAlignment="1">
      <x:alignment vertical="center"/>
    </x:xf>
    <x:xf numFmtId="202" fontId="10" fillId="0" borderId="5" xfId="0" applyNumberFormat="1" applyFont="1" applyFill="1" applyBorder="1" applyAlignment="1">
      <x:alignment vertical="center"/>
    </x:xf>
    <x:xf numFmtId="0" fontId="10" fillId="0" borderId="5" xfId="0" applyNumberFormat="1" applyFont="1" applyFill="1" applyBorder="1" applyAlignment="1">
      <x:alignment vertical="center"/>
    </x:xf>
    <x:xf numFmtId="0" fontId="10" fillId="0" borderId="5" xfId="0" applyNumberFormat="1" applyFont="1" applyFill="1" applyBorder="1" applyAlignment="1">
      <x:alignment vertical="center" wrapText="1"/>
    </x:xf>
    <x:xf numFmtId="200" fontId="10" fillId="0" borderId="5" xfId="0" applyNumberFormat="1" applyFont="1" applyFill="1" applyBorder="1" applyAlignment="1">
      <x:alignment vertical="center" wrapText="1"/>
    </x:xf>
    <x:xf numFmtId="0" fontId="10" fillId="0" borderId="5" xfId="0" applyNumberFormat="1" applyFont="1" applyFill="1" applyBorder="1" applyAlignment="1">
      <x:alignment wrapText="1"/>
    </x:xf>
    <x:xf numFmtId="201" fontId="10" fillId="0" borderId="5" xfId="0" applyNumberFormat="1" applyFont="1" applyFill="1" applyBorder="1"/>
    <x:xf numFmtId="0" fontId="10" fillId="0" borderId="6" xfId="0" applyNumberFormat="1" applyFont="1" applyFill="1" applyBorder="1" applyAlignment="1">
      <x:alignment wrapText="0"/>
    </x:xf>
    <x:xf numFmtId="0" fontId="10" fillId="0" borderId="7" xfId="0" applyNumberFormat="1" applyFont="1" applyFill="1" applyBorder="1" applyAlignment="1">
      <x:alignment vertical="center"/>
    </x:xf>
    <x:xf numFmtId="202" fontId="10" fillId="0" borderId="8" xfId="0" applyNumberFormat="1" applyFont="1" applyFill="1" applyBorder="1" applyAlignment="1">
      <x:alignment vertical="center"/>
    </x:xf>
    <x:xf numFmtId="0" fontId="10" fillId="0" borderId="8" xfId="0" applyNumberFormat="1" applyFont="1" applyFill="1" applyBorder="1" applyAlignment="1">
      <x:alignment vertical="center"/>
    </x:xf>
    <x:xf numFmtId="0" fontId="10" fillId="0" borderId="8" xfId="0" applyNumberFormat="1" applyFont="1" applyFill="1" applyBorder="1" applyAlignment="1">
      <x:alignment vertical="center" wrapText="1"/>
    </x:xf>
    <x:xf numFmtId="200" fontId="10" fillId="0" borderId="8" xfId="0" applyNumberFormat="1" applyFont="1" applyFill="1" applyBorder="1" applyAlignment="1">
      <x:alignment vertical="center" wrapText="1"/>
    </x:xf>
    <x:xf numFmtId="0" fontId="10" fillId="0" borderId="8" xfId="0" applyNumberFormat="1" applyFont="1" applyFill="1" applyBorder="1" applyAlignment="1">
      <x:alignment wrapText="1"/>
    </x:xf>
    <x:xf numFmtId="201" fontId="10" fillId="0" borderId="8" xfId="0" applyNumberFormat="1" applyFont="1" applyFill="1" applyBorder="1"/>
    <x:xf numFmtId="0" fontId="10" fillId="0" borderId="9" xfId="0" applyNumberFormat="1" applyFont="1" applyFill="1" applyBorder="1" applyAlignment="1">
      <x:alignment wrapText="0"/>
    </x:xf>
    <x:xf numFmtId="0" fontId="10" fillId="0" borderId="10" xfId="0" applyNumberFormat="1" applyFont="1" applyFill="1" applyBorder="1" applyAlignment="1">
      <x:alignment vertical="center"/>
    </x:xf>
    <x:xf numFmtId="202" fontId="10" fillId="0" borderId="11" xfId="0" applyNumberFormat="1" applyFont="1" applyFill="1" applyBorder="1" applyAlignment="1">
      <x:alignment vertical="center"/>
    </x:xf>
    <x:xf numFmtId="0" fontId="10" fillId="0" borderId="11" xfId="0" applyNumberFormat="1" applyFont="1" applyFill="1" applyBorder="1" applyAlignment="1">
      <x:alignment vertical="center"/>
    </x:xf>
    <x:xf numFmtId="0" fontId="10" fillId="0" borderId="11" xfId="0" applyNumberFormat="1" applyFont="1" applyFill="1" applyBorder="1" applyAlignment="1">
      <x:alignment vertical="center" wrapText="1"/>
    </x:xf>
    <x:xf numFmtId="200" fontId="10" fillId="0" borderId="11" xfId="0" applyNumberFormat="1" applyFont="1" applyFill="1" applyBorder="1" applyAlignment="1">
      <x:alignment vertical="center" wrapText="1"/>
    </x:xf>
    <x:xf numFmtId="0" fontId="10" fillId="0" borderId="11" xfId="0" applyNumberFormat="1" applyFont="1" applyFill="1" applyBorder="1" applyAlignment="1">
      <x:alignment wrapText="1"/>
    </x:xf>
    <x:xf numFmtId="201" fontId="10" fillId="0" borderId="11" xfId="0" applyNumberFormat="1" applyFont="1" applyFill="1" applyBorder="1"/>
    <x:xf numFmtId="0" fontId="10" fillId="0" borderId="12" xfId="0" applyNumberFormat="1" applyFont="1" applyFill="1" applyBorder="1" applyAlignment="1">
      <x:alignment wrapText="0"/>
    </x:xf>
    <x:xf numFmtId="0" fontId="7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2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0" fillId="12" borderId="0" xfId="0" applyNumberFormat="1" applyFont="1" applyFill="1" applyBorder="1"/>
    <x:xf numFmtId="0" fontId="13" fillId="12" borderId="0" xfId="0" applyNumberFormat="1" applyFont="1" applyFill="1" applyBorder="1"/>
    <x:xf numFmtId="0" fontId="13" fillId="12" borderId="13" xfId="0" applyNumberFormat="1" applyFont="1" applyFill="1" applyBorder="1"/>
    <x:xf numFmtId="0" fontId="13" fillId="12" borderId="14" xfId="0" applyNumberFormat="1" applyFont="1" applyFill="1" applyBorder="1"/>
    <x:xf numFmtId="0" fontId="13" fillId="12" borderId="15" xfId="0" applyNumberFormat="1" applyFont="1" applyFill="1" applyBorder="1"/>
    <x:xf numFmtId="0" fontId="13" fillId="12" borderId="13" xfId="0" applyNumberFormat="1" applyFont="1" applyFill="1" applyBorder="1" applyAlignment="1">
      <x:alignment wrapText="1"/>
    </x:xf>
    <x:xf numFmtId="0" fontId="13" fillId="12" borderId="14" xfId="0" applyNumberFormat="1" applyFont="1" applyFill="1" applyBorder="1" applyAlignment="1">
      <x:alignment wrapText="1"/>
    </x:xf>
    <x:xf numFmtId="0" fontId="13" fillId="12" borderId="15" xfId="0" applyNumberFormat="1" applyFont="1" applyFill="1" applyBorder="1" applyAlignment="1">
      <x:alignment wrapText="1"/>
    </x:xf>
    <x:xf numFmtId="0" fontId="13" fillId="12" borderId="13" xfId="0" applyNumberFormat="1" applyFont="1" applyFill="1" applyBorder="1" applyAlignment="1">
      <x:alignment horizontal="center" wrapText="1"/>
    </x:xf>
    <x:xf numFmtId="0" fontId="13" fillId="12" borderId="14" xfId="0" applyNumberFormat="1" applyFont="1" applyFill="1" applyBorder="1" applyAlignment="1">
      <x:alignment horizontal="center" wrapText="1"/>
    </x:xf>
    <x:xf numFmtId="0" fontId="13" fillId="12" borderId="15" xfId="0" applyNumberFormat="1" applyFont="1" applyFill="1" applyBorder="1" applyAlignment="1">
      <x:alignment horizontal="center" wrapText="1"/>
    </x:xf>
    <x:xf numFmtId="0" fontId="13" fillId="12" borderId="13" xfId="0" applyNumberFormat="1" applyFont="1" applyFill="1" applyBorder="1" applyAlignment="1">
      <x:alignment horizontal="center" vertical="center" wrapText="1"/>
    </x:xf>
    <x:xf numFmtId="0" fontId="13" fillId="12" borderId="14" xfId="0" applyNumberFormat="1" applyFont="1" applyFill="1" applyBorder="1" applyAlignment="1">
      <x:alignment horizontal="center" vertical="center" wrapText="1"/>
    </x:xf>
    <x:xf numFmtId="0" fontId="13" fillId="12" borderId="15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20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0"/>
    </x:xf>
    <x:xf numFmtId="202" fontId="10" fillId="0" borderId="4" xfId="0" applyNumberFormat="1" applyFont="1" applyFill="1" applyBorder="1" applyAlignment="1">
      <x:alignment wrapText="1"/>
    </x:xf>
    <x:xf numFmtId="202" fontId="10" fillId="0" borderId="5" xfId="0" applyNumberFormat="1" applyFont="1" applyFill="1" applyBorder="1" applyAlignment="1">
      <x:alignment wrapText="1"/>
    </x:xf>
    <x:xf numFmtId="200" fontId="10" fillId="0" borderId="5" xfId="0" applyNumberFormat="1" applyFont="1" applyFill="1" applyBorder="1" applyAlignment="1">
      <x:alignment wrapText="1"/>
    </x:xf>
    <x:xf numFmtId="202" fontId="10" fillId="0" borderId="7" xfId="0" applyNumberFormat="1" applyFont="1" applyFill="1" applyBorder="1" applyAlignment="1">
      <x:alignment wrapText="1"/>
    </x:xf>
    <x:xf numFmtId="202" fontId="10" fillId="0" borderId="8" xfId="0" applyNumberFormat="1" applyFont="1" applyFill="1" applyBorder="1" applyAlignment="1">
      <x:alignment wrapText="1"/>
    </x:xf>
    <x:xf numFmtId="200" fontId="10" fillId="0" borderId="8" xfId="0" applyNumberFormat="1" applyFont="1" applyFill="1" applyBorder="1" applyAlignment="1">
      <x:alignment wrapText="1"/>
    </x:xf>
    <x:xf numFmtId="202" fontId="10" fillId="0" borderId="10" xfId="0" applyNumberFormat="1" applyFont="1" applyFill="1" applyBorder="1" applyAlignment="1">
      <x:alignment wrapText="1"/>
    </x:xf>
    <x:xf numFmtId="202" fontId="10" fillId="0" borderId="11" xfId="0" applyNumberFormat="1" applyFont="1" applyFill="1" applyBorder="1" applyAlignment="1">
      <x:alignment wrapText="1"/>
    </x:xf>
    <x:xf numFmtId="200" fontId="10" fillId="0" borderId="11" xfId="0" applyNumberFormat="1" applyFont="1" applyFill="1" applyBorder="1" applyAlignment="1">
      <x:alignment wrapText="1"/>
    </x:xf>
  </x:cellXfs>
  <x:cellStyles count="1">
    <x:cellStyle name="Normal" xfId="0"/>
  </x:cellStyles>
  <x:dxfs count="28">
    <x:dxf>
      <x:font>
        <x:b/>
        <x:color rgb="FF176B3A"/>
      </x:font>
      <x:fill>
        <x:patternFill>
          <x:bgColor rgb="FFDDF7E8"/>
        </x:patternFill>
      </x:fill>
    </x:dxf>
    <x:dxf>
      <x:font>
        <x:color rgb="FF9B1C1C"/>
      </x:font>
      <x:fill>
        <x:patternFill>
          <x:bgColor rgb="FFFDE8E8"/>
        </x:patternFill>
      </x:fill>
    </x:dxf>
    <x:dxf>
      <x:font>
        <x:b/>
        <x:color rgb="FF176B3A"/>
      </x:font>
      <x:fill>
        <x:patternFill>
          <x:bgColor rgb="FFDDF7E8"/>
        </x:patternFill>
      </x:fill>
    </x:dxf>
    <x:dxf>
      <x:font>
        <x:color rgb="FF9B1C1C"/>
      </x:font>
      <x:fill>
        <x:patternFill>
          <x:bgColor rgb="FFFDE8E8"/>
        </x:patternFill>
      </x:fill>
    </x:dxf>
    <x:dxf>
      <x:font>
        <x:b/>
        <x:color rgb="FF176B3A"/>
      </x:font>
      <x:fill>
        <x:patternFill>
          <x:bgColor rgb="FFDDF7E8"/>
        </x:patternFill>
      </x:fill>
    </x:dxf>
    <x:dxf>
      <x:font>
        <x:color rgb="FF9B1C1C"/>
      </x:font>
      <x:fill>
        <x:patternFill>
          <x:bgColor rgb="FFFDE8E8"/>
        </x:patternFill>
      </x:fill>
    </x:dxf>
    <x:dxf>
      <x:font>
        <x:b/>
        <x:color rgb="FF176B3A"/>
      </x:font>
      <x:fill>
        <x:patternFill>
          <x:bgColor rgb="FFDDF7E8"/>
        </x:patternFill>
      </x:fill>
    </x:dxf>
    <x:dxf>
      <x:font>
        <x:color rgb="FF9B1C1C"/>
      </x:font>
      <x:fill>
        <x:patternFill>
          <x:bgColor rgb="FFFDE8E8"/>
        </x:patternFill>
      </x:fill>
    </x:dxf>
    <x:dxf>
      <x:font>
        <x:b/>
        <x:color rgb="FF176B3A"/>
      </x:font>
      <x:fill>
        <x:patternFill patternType="solid">
          <x:bgColor rgb="FFDDF7E8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  <x:dxf>
      <x:font>
        <x:b/>
        <x:color rgb="FF176B3A"/>
      </x:font>
      <x:fill>
        <x:patternFill patternType="solid">
          <x:bgColor rgb="FFDDF7E8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  <x:dxf>
      <x:font>
        <x:b/>
        <x:color rgb="FF176B3A"/>
      </x:font>
      <x:fill>
        <x:patternFill patternType="solid">
          <x:bgColor rgb="FFDDF7E8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  <x:dxf>
      <x:font>
        <x:b/>
        <x:color rgb="FF176B3A"/>
      </x:font>
      <x:fill>
        <x:patternFill patternType="solid">
          <x:bgColor rgb="FFDDF7E8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7A4E00"/>
      </x:font>
      <x:fill>
        <x:patternFill patternType="solid">
          <x:bgColor rgb="FFFFF3CD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  <x:dxf>
      <x:font>
        <x:color rgb="FF9B1C1C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71ce8d7e984d68" /><Relationship Type="http://schemas.openxmlformats.org/officeDocument/2006/relationships/theme" Target="/xl/theme/theme1.xml" Id="Rbf4803b94c194ba0" /><Relationship Type="http://schemas.openxmlformats.org/officeDocument/2006/relationships/sharedStrings" Target="/xl/sharedStrings.xml" Id="Rd65b2d9dd93d4778" /><Relationship Type="http://schemas.openxmlformats.org/officeDocument/2006/relationships/worksheet" Target="/xl/worksheets/sheet1.xml" Id="Rfa90fbdc281e45ed" /><Relationship Type="http://schemas.openxmlformats.org/officeDocument/2006/relationships/worksheet" Target="/xl/worksheets/sheet2.xml" Id="R8b9ac34cf037402e" /><Relationship Type="http://schemas.openxmlformats.org/officeDocument/2006/relationships/worksheet" Target="/xl/worksheets/sheet3.xml" Id="Rcbab7c02625c4ac9" /><Relationship Type="http://schemas.openxmlformats.org/officeDocument/2006/relationships/worksheet" Target="/xl/worksheets/sheet4.xml" Id="R8890163051744143" /></Relationships>
</file>

<file path=xl/tables/table1.xml><?xml version="1.0" encoding="utf-8"?>
<x:table xmlns:x="http://schemas.openxmlformats.org/spreadsheetml/2006/main" id="1" name="LJG_SHA_All" displayName="LJG_SHA_All" ref="A7:T72" headerRowCount="1" totalsRowCount="0" totalsRowShown="0">
  <x:autoFilter ref="A7:T72"/>
  <x:tableColumns count="20">
    <x:tableColumn id="1" name="序号"/>
    <x:tableColumn id="2" name="出发日期"/>
    <x:tableColumn id="3" name="返程日期"/>
    <x:tableColumn id="4" name="停留天数"/>
    <x:tableColumn id="5" name="航空公司"/>
    <x:tableColumn id="6" name="出发时间"/>
    <x:tableColumn id="7" name="到达时间"/>
    <x:tableColumn id="8" name="出发机场"/>
    <x:tableColumn id="9" name="到达机场"/>
    <x:tableColumn id="10" name="经停次数"/>
    <x:tableColumn id="11" name="中转信息"/>
    <x:tableColumn id="12" name="去程时长"/>
    <x:tableColumn id="13" name="Google往返起价"/>
    <x:tableColumn id="14" name="20kg行李估算"/>
    <x:tableColumn id="15" name="含20kg估算总价"/>
    <x:tableColumn id="16" name="严格低于¥5,000"/>
    <x:tableColumn id="17" name="行李口径"/>
    <x:tableColumn id="18" name="返程说明"/>
    <x:tableColumn id="19" name="搜索时间"/>
    <x:tableColumn id="20" name="来源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LJG_SHA_All_Return" displayName="LJG_SHA_All_Return" ref="U7:AF72" headerRowCount="1" totalsRowCount="0" totalsRowShown="0">
  <x:autoFilter ref="U7:AF72"/>
  <x:tableColumns count="12">
    <x:tableColumn id="1" name="返程出发日期"/>
    <x:tableColumn id="2" name="返程起飞时间"/>
    <x:tableColumn id="3" name="返程出发机场"/>
    <x:tableColumn id="4" name="返程到达日期"/>
    <x:tableColumn id="5" name="返程到达时间"/>
    <x:tableColumn id="6" name="返程到达机场"/>
    <x:tableColumn id="7" name="返程航空公司"/>
    <x:tableColumn id="8" name="返程经停次数"/>
    <x:tableColumn id="9" name="返程时长"/>
    <x:tableColumn id="10" name="当前返程总价"/>
    <x:tableColumn id="11" name="返程匹配状态"/>
    <x:tableColumn id="12" name="返程来源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LJG_SHA_Top10" displayName="LJG_SHA_Top10" ref="A7:T17" headerRowCount="1" totalsRowCount="0" totalsRowShown="0">
  <x:autoFilter ref="A7:T17"/>
  <x:tableColumns count="20">
    <x:tableColumn id="1" name="序号"/>
    <x:tableColumn id="2" name="出发日期"/>
    <x:tableColumn id="3" name="返程日期"/>
    <x:tableColumn id="4" name="停留天数"/>
    <x:tableColumn id="5" name="航空公司"/>
    <x:tableColumn id="6" name="出发时间"/>
    <x:tableColumn id="7" name="到达时间"/>
    <x:tableColumn id="8" name="出发机场"/>
    <x:tableColumn id="9" name="到达机场"/>
    <x:tableColumn id="10" name="经停次数"/>
    <x:tableColumn id="11" name="中转信息"/>
    <x:tableColumn id="12" name="去程时长"/>
    <x:tableColumn id="13" name="Google往返起价"/>
    <x:tableColumn id="14" name="20kg行李估算"/>
    <x:tableColumn id="15" name="含20kg估算总价"/>
    <x:tableColumn id="16" name="严格低于¥5,000"/>
    <x:tableColumn id="17" name="行李口径"/>
    <x:tableColumn id="18" name="返程说明"/>
    <x:tableColumn id="19" name="搜索时间"/>
    <x:tableColumn id="20" name="来源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LJG_SHA_Top10_Return" displayName="LJG_SHA_Top10_Return" ref="U7:AF17" headerRowCount="1" totalsRowCount="0" totalsRowShown="0">
  <x:autoFilter ref="U7:AF17"/>
  <x:tableColumns count="12">
    <x:tableColumn id="1" name="返程出发日期"/>
    <x:tableColumn id="2" name="返程起飞时间"/>
    <x:tableColumn id="3" name="返程出发机场"/>
    <x:tableColumn id="4" name="返程到达日期"/>
    <x:tableColumn id="5" name="返程到达时间"/>
    <x:tableColumn id="6" name="返程到达机场"/>
    <x:tableColumn id="7" name="返程航空公司"/>
    <x:tableColumn id="8" name="返程经停次数"/>
    <x:tableColumn id="9" name="返程时长"/>
    <x:tableColumn id="10" name="当前返程总价"/>
    <x:tableColumn id="11" name="返程匹配状态"/>
    <x:tableColumn id="12" name="返程来源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LJG_CKG_All" displayName="LJG_CKG_All" ref="A7:T31" headerRowCount="1" totalsRowCount="0" totalsRowShown="0">
  <x:autoFilter ref="A7:T31"/>
  <x:tableColumns count="20">
    <x:tableColumn id="1" name="序号"/>
    <x:tableColumn id="2" name="出发日期"/>
    <x:tableColumn id="3" name="返程日期"/>
    <x:tableColumn id="4" name="停留天数"/>
    <x:tableColumn id="5" name="航空公司"/>
    <x:tableColumn id="6" name="出发时间"/>
    <x:tableColumn id="7" name="到达时间"/>
    <x:tableColumn id="8" name="出发机场"/>
    <x:tableColumn id="9" name="到达机场"/>
    <x:tableColumn id="10" name="经停次数"/>
    <x:tableColumn id="11" name="中转信息"/>
    <x:tableColumn id="12" name="去程时长"/>
    <x:tableColumn id="13" name="Google往返起价"/>
    <x:tableColumn id="14" name="20kg行李估算"/>
    <x:tableColumn id="15" name="含20kg估算总价"/>
    <x:tableColumn id="16" name="严格低于¥5,000"/>
    <x:tableColumn id="17" name="行李口径"/>
    <x:tableColumn id="18" name="返程说明"/>
    <x:tableColumn id="19" name="搜索时间"/>
    <x:tableColumn id="20" name="来源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LJG_CKG_All_Return" displayName="LJG_CKG_All_Return" ref="U7:AF31" headerRowCount="1" totalsRowCount="0" totalsRowShown="0">
  <x:autoFilter ref="U7:AF31"/>
  <x:tableColumns count="12">
    <x:tableColumn id="1" name="返程出发日期"/>
    <x:tableColumn id="2" name="返程起飞时间"/>
    <x:tableColumn id="3" name="返程出发机场"/>
    <x:tableColumn id="4" name="返程到达日期"/>
    <x:tableColumn id="5" name="返程到达时间"/>
    <x:tableColumn id="6" name="返程到达机场"/>
    <x:tableColumn id="7" name="返程航空公司"/>
    <x:tableColumn id="8" name="返程经停次数"/>
    <x:tableColumn id="9" name="返程时长"/>
    <x:tableColumn id="10" name="当前返程总价"/>
    <x:tableColumn id="11" name="返程匹配状态"/>
    <x:tableColumn id="12" name="返程来源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4" name="LJG_CKG_Top10" displayName="LJG_CKG_Top10" ref="A7:T17" headerRowCount="1" totalsRowCount="0" totalsRowShown="0">
  <x:autoFilter ref="A7:T17"/>
  <x:tableColumns count="20">
    <x:tableColumn id="1" name="序号"/>
    <x:tableColumn id="2" name="出发日期"/>
    <x:tableColumn id="3" name="返程日期"/>
    <x:tableColumn id="4" name="停留天数"/>
    <x:tableColumn id="5" name="航空公司"/>
    <x:tableColumn id="6" name="出发时间"/>
    <x:tableColumn id="7" name="到达时间"/>
    <x:tableColumn id="8" name="出发机场"/>
    <x:tableColumn id="9" name="到达机场"/>
    <x:tableColumn id="10" name="经停次数"/>
    <x:tableColumn id="11" name="中转信息"/>
    <x:tableColumn id="12" name="去程时长"/>
    <x:tableColumn id="13" name="Google往返起价"/>
    <x:tableColumn id="14" name="20kg行李估算"/>
    <x:tableColumn id="15" name="含20kg估算总价"/>
    <x:tableColumn id="16" name="严格低于¥5,000"/>
    <x:tableColumn id="17" name="行李口径"/>
    <x:tableColumn id="18" name="返程说明"/>
    <x:tableColumn id="19" name="搜索时间"/>
    <x:tableColumn id="20" name="来源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LJG_CKG_Top10_Return" displayName="LJG_CKG_Top10_Return" ref="U7:AF17" headerRowCount="1" totalsRowCount="0" totalsRowShown="0">
  <x:autoFilter ref="U7:AF17"/>
  <x:tableColumns count="12">
    <x:tableColumn id="1" name="返程出发日期"/>
    <x:tableColumn id="2" name="返程起飞时间"/>
    <x:tableColumn id="3" name="返程出发机场"/>
    <x:tableColumn id="4" name="返程到达日期"/>
    <x:tableColumn id="5" name="返程到达时间"/>
    <x:tableColumn id="6" name="返程到达机场"/>
    <x:tableColumn id="7" name="返程航空公司"/>
    <x:tableColumn id="8" name="返程经停次数"/>
    <x:tableColumn id="9" name="返程时长"/>
    <x:tableColumn id="10" name="当前返程总价"/>
    <x:tableColumn id="11" name="返程匹配状态"/>
    <x:tableColumn id="12" name="返程来源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383a89f3124a5a" /><Relationship Type="http://schemas.openxmlformats.org/officeDocument/2006/relationships/table" Target="/xl/tables/table2.xml" Id="Rc3904396b09a4d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1bb7115bd9f94545" /><Relationship Type="http://schemas.openxmlformats.org/officeDocument/2006/relationships/table" Target="/xl/tables/table4.xml" Id="R730e703d32f743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574b060f29d541d1" /><Relationship Type="http://schemas.openxmlformats.org/officeDocument/2006/relationships/table" Target="/xl/tables/table6.xml" Id="R7cb99d5f5c0845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d40619c4610f47bc" /><Relationship Type="http://schemas.openxmlformats.org/officeDocument/2006/relationships/table" Target="/xl/tables/table8.xml" Id="Raf430ae16a6e4d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2" hidden="0" customWidth="1"/>
    <x:col min="4" max="4" width="8" hidden="0" customWidth="1"/>
    <x:col min="5" max="5" width="21" hidden="0" customWidth="1"/>
    <x:col min="6" max="6" width="10" hidden="0" customWidth="1"/>
    <x:col min="7" max="7" width="10" hidden="0" customWidth="1"/>
    <x:col min="8" max="8" width="24" hidden="0" customWidth="1"/>
    <x:col min="9" max="9" width="24" hidden="0" customWidth="1"/>
    <x:col min="10" max="10" width="8" hidden="0" customWidth="1"/>
    <x:col min="11" max="11" width="27" hidden="0" customWidth="1"/>
    <x:col min="12" max="12" width="14" hidden="0" customWidth="1"/>
    <x:col min="13" max="13" width="14" hidden="0" customWidth="1"/>
    <x:col min="14" max="14" width="14" hidden="0" customWidth="1"/>
    <x:col min="15" max="15" width="15" hidden="0" customWidth="1"/>
    <x:col min="16" max="16" width="13" hidden="0" customWidth="1"/>
    <x:col min="17" max="17" width="39" hidden="0" customWidth="1"/>
    <x:col min="18" max="18" width="42" hidden="0" customWidth="1"/>
    <x:col min="19" max="19" width="20" hidden="0" customWidth="1"/>
    <x:col min="20" max="20" width="58" hidden="0" customWidth="1"/>
    <x:col min="21" max="21" width="12" hidden="0" customWidth="1"/>
    <x:col min="22" max="22" width="10" hidden="0" customWidth="1"/>
    <x:col min="23" max="23" width="24" hidden="0" customWidth="1"/>
    <x:col min="24" max="24" width="12" hidden="0" customWidth="1"/>
    <x:col min="25" max="25" width="10" hidden="0" customWidth="1"/>
    <x:col min="26" max="26" width="24" hidden="0" customWidth="1"/>
    <x:col min="27" max="27" width="20" hidden="0" customWidth="1"/>
    <x:col min="28" max="28" width="9" hidden="0" customWidth="1"/>
    <x:col min="29" max="29" width="14" hidden="0" customWidth="1"/>
    <x:col min="30" max="30" width="14" hidden="0" customWidth="1"/>
    <x:col min="31" max="31" width="34" hidden="0" customWidth="1"/>
    <x:col min="32" max="32" width="58" hidden="0" customWidth="1"/>
  </x:cols>
  <x:sheetData>
    <x:row r="1" ht="32" customHeight="1">
      <x:c r="A1" s="101" t="str">
        <x:v>上海 → 丽江（LJG） 全集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  <x:c r="AA1" s="101"/>
      <x:c r="AB1" s="101"/>
      <x:c r="AC1" s="101"/>
      <x:c r="AD1" s="101"/>
      <x:c r="AE1" s="101"/>
      <x:c r="AF1" s="101"/>
    </x:row>
    <x:row r="2" ht="28" customHeight="1">
      <x:c r="A2" s="104" t="str">
        <x:v>全集 = 2026-10-01 至 10-09、停留4–7天的14个日期组合中，所有当前可见且含20kg估算后严格低于¥5,000的唯一方案。</x:v>
      </x:c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  <x:c r="AA2" s="104"/>
      <x:c r="AB2" s="104"/>
      <x:c r="AC2" s="104"/>
      <x:c r="AD2" s="104"/>
      <x:c r="AE2" s="104"/>
      <x:c r="AF2" s="104"/>
    </x:row>
    <x:row r="3">
      <x:c r="A3" s="68" t="str">
        <x:v>方案数</x:v>
      </x:c>
      <x:c r="B3" s="68" t="n">
        <x:f>COUNTA(A8:A72)</x:f>
        <x:v>65</x:v>
      </x:c>
      <x:c r="C3" s="68"/>
      <x:c r="D3" s="68" t="str">
        <x:v>覆盖日期组合</x:v>
      </x:c>
      <x:c r="E3" s="68" t="str">
        <x:v>14/14</x:v>
      </x:c>
      <x:c r="F3" s="68"/>
      <x:c r="G3" s="68" t="str">
        <x:v>最低含行李价</x:v>
      </x:c>
      <x:c r="H3" s="69" t="n">
        <x:f>MIN(O8:O72)</x:f>
        <x:v>1670</x:v>
      </x:c>
      <x:c r="I3" s="68"/>
      <x:c r="J3" s="68" t="str">
        <x:v>最高合格价</x:v>
      </x:c>
      <x:c r="K3" s="69" t="n">
        <x:f>MAX(O8:O72)</x:f>
        <x:v>4920</x:v>
      </x:c>
      <x:c r="L3" s="68"/>
      <x:c r="M3" s="68" t="str">
        <x:v>价格上限</x:v>
      </x:c>
      <x:c r="N3" s="69" t="n">
        <x:v>5000</x:v>
      </x:c>
      <x:c r="O3" s="68"/>
      <x:c r="P3" s="68" t="str">
        <x:v>搜索时间</x:v>
      </x:c>
      <x:c r="Q3" s="70" t="n">
        <x:v>46267.752321875</x:v>
      </x:c>
      <x:c r="R3" s="71"/>
      <x:c r="S3" s="71"/>
      <x:c r="T3" s="71"/>
    </x:row>
    <x:row r="4" ht="28" customHeight="1">
      <x:c r="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G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H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I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J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K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L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M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N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O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P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Q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R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S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T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U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V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W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X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Y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Z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</x:row>
    <x:row r="5" ht="34" customHeight="1">
      <x:c r="A5" s="110" t="str">
        <x:v>行李来源：春秋航空 https://www.ch.com/News/09931f418e51475d9bdee6c598343199.html；西部航空 https://www.westair.cn/stcontent/menupage/fe61b2ec-9adb-4033-9d00-3297748aa1cc/88f48e03-163c-4dd9-9229-8be70d1ba853/71901746-da70-4e43-84bc-f2d2c01278a3。传统航司按国内经济舱通常20kg处理，差异化航司采用保守预留，出票前仍须复核。</x:v>
      </x:c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  <x:c r="M5" s="110"/>
      <x:c r="N5" s="110"/>
      <x:c r="O5" s="110"/>
      <x:c r="P5" s="110"/>
      <x:c r="Q5" s="110"/>
      <x:c r="R5" s="110"/>
      <x:c r="S5" s="110"/>
      <x:c r="T5" s="110"/>
      <x:c r="U5" s="110"/>
      <x:c r="V5" s="110"/>
      <x:c r="W5" s="110"/>
      <x:c r="X5" s="110"/>
      <x:c r="Y5" s="110"/>
      <x:c r="Z5" s="110"/>
      <x:c r="AA5" s="110"/>
      <x:c r="AB5" s="110"/>
      <x:c r="AC5" s="110"/>
      <x:c r="AD5" s="110"/>
      <x:c r="AE5" s="110"/>
      <x:c r="AF5" s="110"/>
    </x:row>
    <x:row r="6">
      <x:c r="A6" s="71"/>
      <x:c r="B6" s="71"/>
      <x:c r="C6" s="71"/>
      <x:c r="D6" s="71"/>
      <x:c r="E6" s="71"/>
      <x:c r="F6" s="71"/>
      <x:c r="G6" s="71"/>
      <x:c r="H6" s="71"/>
      <x:c r="I6" s="71"/>
      <x:c r="J6" s="71"/>
      <x:c r="K6" s="71"/>
      <x:c r="L6" s="71"/>
      <x:c r="M6" s="71"/>
      <x:c r="N6" s="71"/>
      <x:c r="O6" s="71"/>
      <x:c r="P6" s="71"/>
      <x:c r="Q6" s="71"/>
      <x:c r="R6" s="71"/>
      <x:c r="S6" s="71"/>
      <x:c r="T6" s="71"/>
    </x:row>
    <x:row r="7" ht="34" customHeight="1">
      <x:c r="A7" s="74" t="str">
        <x:v>序号</x:v>
      </x:c>
      <x:c r="B7" s="75" t="str">
        <x:v>出发日期</x:v>
      </x:c>
      <x:c r="C7" s="75" t="str">
        <x:v>返程日期</x:v>
      </x:c>
      <x:c r="D7" s="75" t="str">
        <x:v>停留天数</x:v>
      </x:c>
      <x:c r="E7" s="75" t="str">
        <x:v>航空公司</x:v>
      </x:c>
      <x:c r="F7" s="75" t="str">
        <x:v>出发时间</x:v>
      </x:c>
      <x:c r="G7" s="75" t="str">
        <x:v>到达时间</x:v>
      </x:c>
      <x:c r="H7" s="75" t="str">
        <x:v>出发机场</x:v>
      </x:c>
      <x:c r="I7" s="75" t="str">
        <x:v>到达机场</x:v>
      </x:c>
      <x:c r="J7" s="75" t="str">
        <x:v>经停次数</x:v>
      </x:c>
      <x:c r="K7" s="75" t="str">
        <x:v>中转信息</x:v>
      </x:c>
      <x:c r="L7" s="75" t="str">
        <x:v>去程时长</x:v>
      </x:c>
      <x:c r="M7" s="75" t="str">
        <x:v>Google往返起价</x:v>
      </x:c>
      <x:c r="N7" s="75" t="str">
        <x:v>20kg行李估算</x:v>
      </x:c>
      <x:c r="O7" s="75" t="str">
        <x:v>含20kg估算总价</x:v>
      </x:c>
      <x:c r="P7" s="75" t="str">
        <x:v>严格低于¥5,000</x:v>
      </x:c>
      <x:c r="Q7" s="75" t="str">
        <x:v>行李口径</x:v>
      </x:c>
      <x:c r="R7" s="75" t="str">
        <x:v>返程说明</x:v>
      </x:c>
      <x:c r="S7" s="75" t="str">
        <x:v>搜索时间</x:v>
      </x:c>
      <x:c r="T7" s="76" t="str">
        <x:v>来源URL</x:v>
      </x:c>
      <x:c r="U7" s="124" t="str">
        <x:v>返程出发日期</x:v>
      </x:c>
      <x:c r="V7" s="125" t="str">
        <x:v>返程起飞时间</x:v>
      </x:c>
      <x:c r="W7" s="125" t="str">
        <x:v>返程出发机场</x:v>
      </x:c>
      <x:c r="X7" s="125" t="str">
        <x:v>返程到达日期</x:v>
      </x:c>
      <x:c r="Y7" s="125" t="str">
        <x:v>返程到达时间</x:v>
      </x:c>
      <x:c r="Z7" s="125" t="str">
        <x:v>返程到达机场</x:v>
      </x:c>
      <x:c r="AA7" s="125" t="str">
        <x:v>返程航空公司</x:v>
      </x:c>
      <x:c r="AB7" s="125" t="str">
        <x:v>返程经停次数</x:v>
      </x:c>
      <x:c r="AC7" s="125" t="str">
        <x:v>返程时长</x:v>
      </x:c>
      <x:c r="AD7" s="125" t="str">
        <x:v>当前返程总价</x:v>
      </x:c>
      <x:c r="AE7" s="125" t="str">
        <x:v>返程匹配状态</x:v>
      </x:c>
      <x:c r="AF7" s="126" t="str">
        <x:v>返程来源URL</x:v>
      </x:c>
    </x:row>
    <x:row r="8" ht="42" customHeight="1">
      <x:c r="A8" s="77" t="n">
        <x:f>ROW()-7</x:f>
        <x:v>1</x:v>
      </x:c>
      <x:c r="B8" s="78" t="n">
        <x:v>46300</x:v>
      </x:c>
      <x:c r="C8" s="78" t="n">
        <x:v>46304</x:v>
      </x:c>
      <x:c r="D8" s="79" t="n">
        <x:v>4</x:v>
      </x:c>
      <x:c r="E8" s="80" t="str">
        <x:v>春航</x:v>
      </x:c>
      <x:c r="F8" s="80" t="str">
        <x:v>08:35</x:v>
      </x:c>
      <x:c r="G8" s="80" t="str">
        <x:v>12:20</x:v>
      </x:c>
      <x:c r="H8" s="80" t="str">
        <x:v>上海浦东国际机场</x:v>
      </x:c>
      <x:c r="I8" s="80" t="str">
        <x:v>丽江三义机场</x:v>
      </x:c>
      <x:c r="J8" s="80" t="n">
        <x:v>0</x:v>
      </x:c>
      <x:c r="K8" s="80" t="str">
        <x:v>—</x:v>
      </x:c>
      <x:c r="L8" s="80" t="str">
        <x:v>3 小时 45 分钟</x:v>
      </x:c>
      <x:c r="M8" s="81" t="n">
        <x:v>1320</x:v>
      </x:c>
      <x:c r="N8" s="81" t="n">
        <x:v>350</x:v>
      </x:c>
      <x:c r="O8" s="81" t="n">
        <x:f>M8+N8</x:f>
        <x:v>1670</x:v>
      </x:c>
      <x:c r="P8" s="80" t="str">
        <x:f>IF(O8&lt;5000,"是","否")</x:f>
        <x:v>是</x:v>
      </x:c>
      <x:c r="Q8" s="82" t="str">
        <x:v>春秋低价票可能不含托运；按国内往返20kg保守预留¥350</x:v>
      </x:c>
      <x:c r="R8" s="82" t="str">
        <x:v>该去程对应的最低可订返程组合；具体返程航班需打开来源链接确认</x:v>
      </x:c>
      <x:c r="S8" s="83" t="n">
        <x:v>46267.74647805555</x:v>
      </x:c>
      <x:c r="T8" s="84" t="str">
        <x:v>https://www.google.com/travel/flights?hl=zh-CN&amp;curr=CNY&amp;q=Flights%20from%20Shanghai%20to%20Lijiang%20from%202026-10-05%20to%202026-10-09</x:v>
      </x:c>
      <x:c r="U8" s="133" t="n">
        <x:v>46304</x:v>
      </x:c>
      <x:c r="V8" s="82" t="str">
        <x:v>21:35</x:v>
      </x:c>
      <x:c r="W8" s="82" t="str">
        <x:v>丽江三义机场</x:v>
      </x:c>
      <x:c r="X8" s="134" t="n">
        <x:v>46305</x:v>
      </x:c>
      <x:c r="Y8" s="82" t="str">
        <x:v>01:10</x:v>
      </x:c>
      <x:c r="Z8" s="82" t="str">
        <x:v>上海浦东国际机场</x:v>
      </x:c>
      <x:c r="AA8" s="82" t="str">
        <x:v>春航</x:v>
      </x:c>
      <x:c r="AB8" s="82" t="n">
        <x:v>0</x:v>
      </x:c>
      <x:c r="AC8" s="82" t="str">
        <x:v>3 小时 35 分钟</x:v>
      </x:c>
      <x:c r="AD8" s="135" t="n">
        <x:v>1320</x:v>
      </x:c>
      <x:c r="AE8" s="82" t="str">
        <x:v>匹配原始往返起价</x:v>
      </x:c>
      <x:c r="AF8" s="84" t="str">
        <x:v>https://www.google.com/travel/flights/search?tfs=CBwQAhpLEgoyMDI2LTEwLTA1IiAKA1BWRxIKMjAyNi0xMC0wNRoDTEpHKgI5QzIENjczM2oMCAISCC9tLzA2d2pmcg0IAhIJL20vMDJmcTRrGikSCjIwMjYtMTAtMDlqDQgCEgkvbS8wMmZxNGtyDAgCEggvbS8wNndqZkABSAFwAYIBCwj___________8BmAEB&amp;tfu=CmxDalJJT1hWcVIzUnVRa3BOUjAxQlJVSmFOa0ZDUnkwdExTMHRMWE50ZEhneE5pMXVNa0ZCUVVGQlIzRlpSR0ozVHpCaVIwMUJFZ1k1UXpZM016TWFDZ2lvQ2hBQUdnTkRUbGs0SEhDNG1RRT0SAggAIgMKATA&amp;hl=zh-CN&amp;curr=CNY</x:v>
      </x:c>
    </x:row>
    <x:row r="9" ht="42" customHeight="1">
      <x:c r="A9" s="85" t="n">
        <x:f>ROW()-7</x:f>
        <x:v>2</x:v>
      </x:c>
      <x:c r="B9" s="86" t="n">
        <x:v>46300</x:v>
      </x:c>
      <x:c r="C9" s="86" t="n">
        <x:v>46304</x:v>
      </x:c>
      <x:c r="D9" s="87" t="n">
        <x:v>4</x:v>
      </x:c>
      <x:c r="E9" s="88" t="str">
        <x:v>春航</x:v>
      </x:c>
      <x:c r="F9" s="88" t="str">
        <x:v>13:45</x:v>
      </x:c>
      <x:c r="G9" s="88" t="str">
        <x:v>17:35</x:v>
      </x:c>
      <x:c r="H9" s="88" t="str">
        <x:v>上海浦东国际机场</x:v>
      </x:c>
      <x:c r="I9" s="88" t="str">
        <x:v>丽江三义机场</x:v>
      </x:c>
      <x:c r="J9" s="88" t="n">
        <x:v>0</x:v>
      </x:c>
      <x:c r="K9" s="88" t="str">
        <x:v>—</x:v>
      </x:c>
      <x:c r="L9" s="88" t="str">
        <x:v>3 小时 50 分钟</x:v>
      </x:c>
      <x:c r="M9" s="89" t="n">
        <x:v>1320</x:v>
      </x:c>
      <x:c r="N9" s="89" t="n">
        <x:v>350</x:v>
      </x:c>
      <x:c r="O9" s="89" t="n">
        <x:f>M9+N9</x:f>
        <x:v>1670</x:v>
      </x:c>
      <x:c r="P9" s="88" t="str">
        <x:f>IF(O9&lt;5000,"是","否")</x:f>
        <x:v>是</x:v>
      </x:c>
      <x:c r="Q9" s="90" t="str">
        <x:v>春秋低价票可能不含托运；按国内往返20kg保守预留¥350</x:v>
      </x:c>
      <x:c r="R9" s="90" t="str">
        <x:v>该去程对应的最低可订返程组合；具体返程航班需打开来源链接确认</x:v>
      </x:c>
      <x:c r="S9" s="91" t="n">
        <x:v>46267.74647805555</x:v>
      </x:c>
      <x:c r="T9" s="92" t="str">
        <x:v>https://www.google.com/travel/flights?hl=zh-CN&amp;curr=CNY&amp;q=Flights%20from%20Shanghai%20to%20Lijiang%20from%202026-10-05%20to%202026-10-09</x:v>
      </x:c>
      <x:c r="U9" s="136" t="n">
        <x:v>46304</x:v>
      </x:c>
      <x:c r="V9" s="90" t="str">
        <x:v>21:35</x:v>
      </x:c>
      <x:c r="W9" s="90" t="str">
        <x:v>丽江三义机场</x:v>
      </x:c>
      <x:c r="X9" s="137" t="n">
        <x:v>46305</x:v>
      </x:c>
      <x:c r="Y9" s="90" t="str">
        <x:v>01:10</x:v>
      </x:c>
      <x:c r="Z9" s="90" t="str">
        <x:v>上海浦东国际机场</x:v>
      </x:c>
      <x:c r="AA9" s="90" t="str">
        <x:v>春航</x:v>
      </x:c>
      <x:c r="AB9" s="90" t="n">
        <x:v>0</x:v>
      </x:c>
      <x:c r="AC9" s="90" t="str">
        <x:v>3 小时 35 分钟</x:v>
      </x:c>
      <x:c r="AD9" s="138" t="n">
        <x:v>1320</x:v>
      </x:c>
      <x:c r="AE9" s="90" t="str">
        <x:v>匹配原始往返起价</x:v>
      </x:c>
      <x:c r="AF9" s="92" t="str">
        <x:v>https://www.google.com/travel/flights/search?tfs=CBwQAhpLEgoyMDI2LTEwLTA1IiAKA1BWRxIKMjAyNi0xMC0wNRoDTEpHKgI5QzIENzExNWoMCAISCC9tLzA2d2pmcg0IAhIJL20vMDJmcTRrGikSCjIwMjYtMTAtMDlqDQgCEgkvbS8wMmZxNGtyDAgCEggvbS8wNndqZkABSAFwAYIBCwj___________8BmAEB&amp;tfu=CmxDalJJTFhrM016ZFNRVGg0ZUZGQlJYRnZiWGRDUnkwdExTMHRMUzF6WldKdU15MXVNa0ZCUVVGQlIzRlpSR0ozUzFWdFdXRkJFZ1k1UXpjeE1UVWFDZ2lvQ2hBQUdnTkRUbGs0SEhDNG1RRT0SAggAIgMKATA&amp;hl=zh-CN&amp;curr=CNY</x:v>
      </x:c>
    </x:row>
    <x:row r="10" ht="42" customHeight="1">
      <x:c r="A10" s="85" t="n">
        <x:f>ROW()-7</x:f>
        <x:v>3</x:v>
      </x:c>
      <x:c r="B10" s="86" t="n">
        <x:v>46300</x:v>
      </x:c>
      <x:c r="C10" s="86" t="n">
        <x:v>46304</x:v>
      </x:c>
      <x:c r="D10" s="87" t="n">
        <x:v>4</x:v>
      </x:c>
      <x:c r="E10" s="88" t="str">
        <x:v>春航</x:v>
      </x:c>
      <x:c r="F10" s="88" t="str">
        <x:v>17:05</x:v>
      </x:c>
      <x:c r="G10" s="88" t="str">
        <x:v>20:50</x:v>
      </x:c>
      <x:c r="H10" s="88" t="str">
        <x:v>上海浦东国际机场</x:v>
      </x:c>
      <x:c r="I10" s="88" t="str">
        <x:v>丽江三义机场</x:v>
      </x:c>
      <x:c r="J10" s="88" t="n">
        <x:v>0</x:v>
      </x:c>
      <x:c r="K10" s="88" t="str">
        <x:v>—</x:v>
      </x:c>
      <x:c r="L10" s="88" t="str">
        <x:v>3 小时 45 分钟</x:v>
      </x:c>
      <x:c r="M10" s="89" t="n">
        <x:v>1320</x:v>
      </x:c>
      <x:c r="N10" s="89" t="n">
        <x:v>350</x:v>
      </x:c>
      <x:c r="O10" s="89" t="n">
        <x:f>M10+N10</x:f>
        <x:v>1670</x:v>
      </x:c>
      <x:c r="P10" s="88" t="str">
        <x:f>IF(O10&lt;5000,"是","否")</x:f>
        <x:v>是</x:v>
      </x:c>
      <x:c r="Q10" s="90" t="str">
        <x:v>春秋低价票可能不含托运；按国内往返20kg保守预留¥350</x:v>
      </x:c>
      <x:c r="R10" s="90" t="str">
        <x:v>该去程对应的最低可订返程组合；具体返程航班需打开来源链接确认</x:v>
      </x:c>
      <x:c r="S10" s="91" t="n">
        <x:v>46267.74647805555</x:v>
      </x:c>
      <x:c r="T10" s="92" t="str">
        <x:v>https://www.google.com/travel/flights?hl=zh-CN&amp;curr=CNY&amp;q=Flights%20from%20Shanghai%20to%20Lijiang%20from%202026-10-05%20to%202026-10-09</x:v>
      </x:c>
      <x:c r="U10" s="136" t="n">
        <x:v>46304</x:v>
      </x:c>
      <x:c r="V10" s="90" t="str">
        <x:v>21:35</x:v>
      </x:c>
      <x:c r="W10" s="90" t="str">
        <x:v>丽江三义机场</x:v>
      </x:c>
      <x:c r="X10" s="137" t="n">
        <x:v>46305</x:v>
      </x:c>
      <x:c r="Y10" s="90" t="str">
        <x:v>01:10</x:v>
      </x:c>
      <x:c r="Z10" s="90" t="str">
        <x:v>上海浦东国际机场</x:v>
      </x:c>
      <x:c r="AA10" s="90" t="str">
        <x:v>春航</x:v>
      </x:c>
      <x:c r="AB10" s="90" t="n">
        <x:v>0</x:v>
      </x:c>
      <x:c r="AC10" s="90" t="str">
        <x:v>3 小时 35 分钟</x:v>
      </x:c>
      <x:c r="AD10" s="138" t="n">
        <x:v>1320</x:v>
      </x:c>
      <x:c r="AE10" s="90" t="str">
        <x:v>匹配原始往返起价</x:v>
      </x:c>
      <x:c r="AF10" s="92" t="str">
        <x:v>https://www.google.com/travel/flights/search?tfs=CBwQAhpLEgoyMDI2LTEwLTA1IiAKA1BWRxIKMjAyNi0xMC0wNRoDTEpHKgI5QzIENjYxN2oMCAISCC9tLzA2d2pmcg0IAhIJL20vMDJmcTRrGikSCjIwMjYtMTAtMDlqDQgCEgkvbS8wMmZxNGtyDAgCEggvbS8wNndqZkABSAFwAYIBCwj___________8BmAEB&amp;tfu=CmxDalJJYTBKcFduQjNPRU4zUjFGQlJYVm5XbEZDUnkwdExTMHRMWE5sY0dReE1TMXVNVUZCUVVGQlIzRlpSR0ozVGs5d1RHdEJFZ1k1UXpZMk1UY2FDZ2lvQ2hBQUdnTkRUbGs0SEhDNG1RRT0SAggAIgMKATA&amp;hl=zh-CN&amp;curr=CNY</x:v>
      </x:c>
    </x:row>
    <x:row r="11" ht="42" customHeight="1">
      <x:c r="A11" s="85" t="n">
        <x:f>ROW()-7</x:f>
        <x:v>4</x:v>
      </x:c>
      <x:c r="B11" s="86" t="n">
        <x:v>46299</x:v>
      </x:c>
      <x:c r="C11" s="86" t="n">
        <x:v>46304</x:v>
      </x:c>
      <x:c r="D11" s="87" t="n">
        <x:v>5</x:v>
      </x:c>
      <x:c r="E11" s="88" t="str">
        <x:v>春航</x:v>
      </x:c>
      <x:c r="F11" s="88" t="str">
        <x:v>17:05</x:v>
      </x:c>
      <x:c r="G11" s="88" t="str">
        <x:v>20:50</x:v>
      </x:c>
      <x:c r="H11" s="88" t="str">
        <x:v>上海浦东国际机场</x:v>
      </x:c>
      <x:c r="I11" s="88" t="str">
        <x:v>丽江三义机场</x:v>
      </x:c>
      <x:c r="J11" s="88" t="n">
        <x:v>0</x:v>
      </x:c>
      <x:c r="K11" s="88" t="str">
        <x:v>—</x:v>
      </x:c>
      <x:c r="L11" s="88" t="str">
        <x:v>3 小时 45 分钟</x:v>
      </x:c>
      <x:c r="M11" s="89" t="n">
        <x:v>1370</x:v>
      </x:c>
      <x:c r="N11" s="89" t="n">
        <x:v>350</x:v>
      </x:c>
      <x:c r="O11" s="89" t="n">
        <x:f>M11+N11</x:f>
        <x:v>1720</x:v>
      </x:c>
      <x:c r="P11" s="88" t="str">
        <x:f>IF(O11&lt;5000,"是","否")</x:f>
        <x:v>是</x:v>
      </x:c>
      <x:c r="Q11" s="90" t="str">
        <x:v>春秋低价票可能不含托运；按国内往返20kg保守预留¥350</x:v>
      </x:c>
      <x:c r="R11" s="90" t="str">
        <x:v>该去程对应的最低可订返程组合；具体返程航班需打开来源链接确认</x:v>
      </x:c>
      <x:c r="S11" s="91" t="n">
        <x:v>46267.74647805555</x:v>
      </x:c>
      <x:c r="T11" s="92" t="str">
        <x:v>https://www.google.com/travel/flights?hl=zh-CN&amp;curr=CNY&amp;q=Flights%20from%20Shanghai%20to%20Lijiang%20from%202026-10-04%20to%202026-10-09</x:v>
      </x:c>
      <x:c r="U11" s="136" t="n">
        <x:v>46304</x:v>
      </x:c>
      <x:c r="V11" s="90" t="str">
        <x:v>21:35</x:v>
      </x:c>
      <x:c r="W11" s="90" t="str">
        <x:v>丽江三义机场</x:v>
      </x:c>
      <x:c r="X11" s="137" t="n">
        <x:v>46305</x:v>
      </x:c>
      <x:c r="Y11" s="90" t="str">
        <x:v>01:10</x:v>
      </x:c>
      <x:c r="Z11" s="90" t="str">
        <x:v>上海浦东国际机场</x:v>
      </x:c>
      <x:c r="AA11" s="90" t="str">
        <x:v>春航</x:v>
      </x:c>
      <x:c r="AB11" s="90" t="n">
        <x:v>0</x:v>
      </x:c>
      <x:c r="AC11" s="90" t="str">
        <x:v>3 小时 35 分钟</x:v>
      </x:c>
      <x:c r="AD11" s="138" t="n">
        <x:v>1370</x:v>
      </x:c>
      <x:c r="AE11" s="90" t="str">
        <x:v>匹配原始往返起价</x:v>
      </x:c>
      <x:c r="AF11" s="92" t="str">
        <x:v>https://www.google.com/travel/flights/search?tfs=CBwQAhpLEgoyMDI2LTEwLTA0IiAKA1BWRxIKMjAyNi0xMC0wNBoDTEpHKgI5QzIENjYxN2oMCAISCC9tLzA2d2pmcg0IAhIJL20vMDJmcTRrGikSCjIwMjYtMTAtMDlqDQgCEgkvbS8wMmZxNGtyDAgCEggvbS8wNndqZkABSAFwAYIBCwj___________8BmAEB&amp;tfu=CmxDalJJZEU5VWJEQndRbVpTWVhkQlIyVjFZM2RDUnkwdExTMHRMUzB0YzJWaVozSXpNMEZCUVVGQlIzRlpSR0ozU3psU05XRkJFZ1k1UXpZMk1UY2FDZ2phQ2hBQUdnTkRUbGs0SEhDZ253RT0SAggAIgMKATA&amp;hl=zh-CN&amp;curr=CNY</x:v>
      </x:c>
    </x:row>
    <x:row r="12" ht="42" customHeight="1">
      <x:c r="A12" s="85" t="n">
        <x:f>ROW()-7</x:f>
        <x:v>5</x:v>
      </x:c>
      <x:c r="B12" s="86" t="n">
        <x:v>46299</x:v>
      </x:c>
      <x:c r="C12" s="86" t="n">
        <x:v>46304</x:v>
      </x:c>
      <x:c r="D12" s="87" t="n">
        <x:v>5</x:v>
      </x:c>
      <x:c r="E12" s="88" t="str">
        <x:v>春航</x:v>
      </x:c>
      <x:c r="F12" s="88" t="str">
        <x:v>13:45</x:v>
      </x:c>
      <x:c r="G12" s="88" t="str">
        <x:v>17:35</x:v>
      </x:c>
      <x:c r="H12" s="88" t="str">
        <x:v>上海浦东国际机场</x:v>
      </x:c>
      <x:c r="I12" s="88" t="str">
        <x:v>丽江三义机场</x:v>
      </x:c>
      <x:c r="J12" s="88" t="n">
        <x:v>0</x:v>
      </x:c>
      <x:c r="K12" s="88" t="str">
        <x:v>—</x:v>
      </x:c>
      <x:c r="L12" s="88" t="str">
        <x:v>3 小时 50 分钟</x:v>
      </x:c>
      <x:c r="M12" s="89" t="n">
        <x:v>1460</x:v>
      </x:c>
      <x:c r="N12" s="89" t="n">
        <x:v>350</x:v>
      </x:c>
      <x:c r="O12" s="89" t="n">
        <x:f>M12+N12</x:f>
        <x:v>1810</x:v>
      </x:c>
      <x:c r="P12" s="88" t="str">
        <x:f>IF(O12&lt;5000,"是","否")</x:f>
        <x:v>是</x:v>
      </x:c>
      <x:c r="Q12" s="90" t="str">
        <x:v>春秋低价票可能不含托运；按国内往返20kg保守预留¥350</x:v>
      </x:c>
      <x:c r="R12" s="90" t="str">
        <x:v>该去程对应的最低可订返程组合；具体返程航班需打开来源链接确认</x:v>
      </x:c>
      <x:c r="S12" s="91" t="n">
        <x:v>46267.74647805555</x:v>
      </x:c>
      <x:c r="T12" s="92" t="str">
        <x:v>https://www.google.com/travel/flights?hl=zh-CN&amp;curr=CNY&amp;q=Flights%20from%20Shanghai%20to%20Lijiang%20from%202026-10-04%20to%202026-10-09</x:v>
      </x:c>
      <x:c r="U12" s="136" t="n">
        <x:v>46304</x:v>
      </x:c>
      <x:c r="V12" s="90" t="str">
        <x:v>21:35</x:v>
      </x:c>
      <x:c r="W12" s="90" t="str">
        <x:v>丽江三义机场</x:v>
      </x:c>
      <x:c r="X12" s="137" t="n">
        <x:v>46305</x:v>
      </x:c>
      <x:c r="Y12" s="90" t="str">
        <x:v>01:10</x:v>
      </x:c>
      <x:c r="Z12" s="90" t="str">
        <x:v>上海浦东国际机场</x:v>
      </x:c>
      <x:c r="AA12" s="90" t="str">
        <x:v>春航</x:v>
      </x:c>
      <x:c r="AB12" s="90" t="n">
        <x:v>0</x:v>
      </x:c>
      <x:c r="AC12" s="90" t="str">
        <x:v>3 小时 35 分钟</x:v>
      </x:c>
      <x:c r="AD12" s="138" t="n">
        <x:v>1460</x:v>
      </x:c>
      <x:c r="AE12" s="90" t="str">
        <x:v>匹配原始往返起价</x:v>
      </x:c>
      <x:c r="AF12" s="92" t="str">
        <x:v>https://www.google.com/travel/flights/search?tfs=CBwQAhpLEgoyMDI2LTEwLTA0IiAKA1BWRxIKMjAyNi0xMC0wNBoDTEpHKgI5QzIENzExNWoMCAISCC9tLzA2d2pmcg0IAhIJL20vMDJmcTRrGikSCjIwMjYtMTAtMDlqDQgCEgkvbS8wMmZxNGtyDAgCEggvbS8wNndqZkABSAFwAYIBCwj___________8BmAEB&amp;tfu=CmxDalJJYnpSMU9IcEhkWFk1WVc5QlJucHVSbmRDUnkwdExTMHRMUzB0TFhObFlteG9OMEZCUVVGQlIzRlpSR05aVDB4TVh6SkJFZ1k1UXpjeE1UVWFDZ2kwQ3hBQUdnTkRUbGs0SEhEYnFRRT0SAggAIgMKATA&amp;hl=zh-CN&amp;curr=CNY</x:v>
      </x:c>
    </x:row>
    <x:row r="13" ht="42" customHeight="1">
      <x:c r="A13" s="85" t="n">
        <x:f>ROW()-7</x:f>
        <x:v>6</x:v>
      </x:c>
      <x:c r="B13" s="86" t="n">
        <x:v>46299</x:v>
      </x:c>
      <x:c r="C13" s="86" t="n">
        <x:v>46304</x:v>
      </x:c>
      <x:c r="D13" s="87" t="n">
        <x:v>5</x:v>
      </x:c>
      <x:c r="E13" s="88" t="str">
        <x:v>春航</x:v>
      </x:c>
      <x:c r="F13" s="88" t="str">
        <x:v>08:35</x:v>
      </x:c>
      <x:c r="G13" s="88" t="str">
        <x:v>12:20</x:v>
      </x:c>
      <x:c r="H13" s="88" t="str">
        <x:v>上海浦东国际机场</x:v>
      </x:c>
      <x:c r="I13" s="88" t="str">
        <x:v>丽江三义机场</x:v>
      </x:c>
      <x:c r="J13" s="88" t="n">
        <x:v>0</x:v>
      </x:c>
      <x:c r="K13" s="88" t="str">
        <x:v>—</x:v>
      </x:c>
      <x:c r="L13" s="88" t="str">
        <x:v>3 小时 45 分钟</x:v>
      </x:c>
      <x:c r="M13" s="89" t="n">
        <x:v>1560</x:v>
      </x:c>
      <x:c r="N13" s="89" t="n">
        <x:v>350</x:v>
      </x:c>
      <x:c r="O13" s="89" t="n">
        <x:f>M13+N13</x:f>
        <x:v>1910</x:v>
      </x:c>
      <x:c r="P13" s="88" t="str">
        <x:f>IF(O13&lt;5000,"是","否")</x:f>
        <x:v>是</x:v>
      </x:c>
      <x:c r="Q13" s="90" t="str">
        <x:v>春秋低价票可能不含托运；按国内往返20kg保守预留¥350</x:v>
      </x:c>
      <x:c r="R13" s="90" t="str">
        <x:v>该去程对应的最低可订返程组合；具体返程航班需打开来源链接确认</x:v>
      </x:c>
      <x:c r="S13" s="91" t="n">
        <x:v>46267.74647805555</x:v>
      </x:c>
      <x:c r="T13" s="92" t="str">
        <x:v>https://www.google.com/travel/flights?hl=zh-CN&amp;curr=CNY&amp;q=Flights%20from%20Shanghai%20to%20Lijiang%20from%202026-10-04%20to%202026-10-09</x:v>
      </x:c>
      <x:c r="U13" s="136" t="n">
        <x:v>46304</x:v>
      </x:c>
      <x:c r="V13" s="90" t="str">
        <x:v>21:35</x:v>
      </x:c>
      <x:c r="W13" s="90" t="str">
        <x:v>丽江三义机场</x:v>
      </x:c>
      <x:c r="X13" s="137" t="n">
        <x:v>46305</x:v>
      </x:c>
      <x:c r="Y13" s="90" t="str">
        <x:v>01:10</x:v>
      </x:c>
      <x:c r="Z13" s="90" t="str">
        <x:v>上海浦东国际机场</x:v>
      </x:c>
      <x:c r="AA13" s="90" t="str">
        <x:v>春航</x:v>
      </x:c>
      <x:c r="AB13" s="90" t="n">
        <x:v>0</x:v>
      </x:c>
      <x:c r="AC13" s="90" t="str">
        <x:v>3 小时 35 分钟</x:v>
      </x:c>
      <x:c r="AD13" s="138" t="n">
        <x:v>1560</x:v>
      </x:c>
      <x:c r="AE13" s="90" t="str">
        <x:v>匹配原始往返起价</x:v>
      </x:c>
      <x:c r="AF13" s="92" t="str">
        <x:v>https://www.google.com/travel/flights/search?tfs=CBwQAhpLEgoyMDI2LTEwLTA0IiAKA1BWRxIKMjAyNi0xMC0wNBoDTEpHKgI5QzIENjczM2oMCAISCC9tLzA2d2pmcg0IAhIJL20vMDJmcTRrGikSCjIwMjYtMTAtMDlqDQgCEgkvbS8wMmZxNGtyDAgCEggvbS8wNndqZkABSAFwAYIBCwj___________8BmAEB&amp;tfu=CmxDalJJVTFCd2FUaFNTbWhxVTBsQlJWbFRaMmRDUnkwdExTMHRMUzB0YzIxck1TMXVNVUZCUVVGQlIzRlpSR05qUVhkb1pVRkJFZ1k1UXpZM016TWFDZ2lZREJBQUdnTkRUbGs0SEhDcnRRRT0SAggAIgMKATA&amp;hl=zh-CN&amp;curr=CNY</x:v>
      </x:c>
    </x:row>
    <x:row r="14" ht="42" customHeight="1">
      <x:c r="A14" s="85" t="n">
        <x:f>ROW()-7</x:f>
        <x:v>7</x:v>
      </x:c>
      <x:c r="B14" s="86" t="n">
        <x:v>46298</x:v>
      </x:c>
      <x:c r="C14" s="86" t="n">
        <x:v>46304</x:v>
      </x:c>
      <x:c r="D14" s="87" t="n">
        <x:v>6</x:v>
      </x:c>
      <x:c r="E14" s="88" t="str">
        <x:v>春航</x:v>
      </x:c>
      <x:c r="F14" s="88" t="str">
        <x:v>17:05</x:v>
      </x:c>
      <x:c r="G14" s="88" t="str">
        <x:v>20:50</x:v>
      </x:c>
      <x:c r="H14" s="88" t="str">
        <x:v>上海浦东国际机场</x:v>
      </x:c>
      <x:c r="I14" s="88" t="str">
        <x:v>丽江三义机场</x:v>
      </x:c>
      <x:c r="J14" s="88" t="n">
        <x:v>0</x:v>
      </x:c>
      <x:c r="K14" s="88" t="str">
        <x:v>—</x:v>
      </x:c>
      <x:c r="L14" s="88" t="str">
        <x:v>3 小时 45 分钟</x:v>
      </x:c>
      <x:c r="M14" s="89" t="n">
        <x:v>1690</x:v>
      </x:c>
      <x:c r="N14" s="89" t="n">
        <x:v>350</x:v>
      </x:c>
      <x:c r="O14" s="89" t="n">
        <x:f>M14+N14</x:f>
        <x:v>2040</x:v>
      </x:c>
      <x:c r="P14" s="88" t="str">
        <x:f>IF(O14&lt;5000,"是","否")</x:f>
        <x:v>是</x:v>
      </x:c>
      <x:c r="Q14" s="90" t="str">
        <x:v>春秋低价票可能不含托运；按国内往返20kg保守预留¥350</x:v>
      </x:c>
      <x:c r="R14" s="90" t="str">
        <x:v>该去程对应的最低可订返程组合；具体返程航班需打开来源链接确认</x:v>
      </x:c>
      <x:c r="S14" s="91" t="n">
        <x:v>46267.74647805555</x:v>
      </x:c>
      <x:c r="T14" s="92" t="str">
        <x:v>https://www.google.com/travel/flights?hl=zh-CN&amp;curr=CNY&amp;q=Flights%20from%20Shanghai%20to%20Lijiang%20from%202026-10-03%20to%202026-10-09</x:v>
      </x:c>
      <x:c r="U14" s="136" t="n">
        <x:v>46304</x:v>
      </x:c>
      <x:c r="V14" s="90" t="str">
        <x:v>18:20</x:v>
      </x:c>
      <x:c r="W14" s="90" t="str">
        <x:v>丽江三义机场</x:v>
      </x:c>
      <x:c r="X14" s="137" t="n">
        <x:v>46304</x:v>
      </x:c>
      <x:c r="Y14" s="90" t="str">
        <x:v>21:50</x:v>
      </x:c>
      <x:c r="Z14" s="90" t="str">
        <x:v>上海浦东国际机场</x:v>
      </x:c>
      <x:c r="AA14" s="90" t="str">
        <x:v>春航</x:v>
      </x:c>
      <x:c r="AB14" s="90" t="n">
        <x:v>0</x:v>
      </x:c>
      <x:c r="AC14" s="90" t="str">
        <x:v>3 小时 30 分钟</x:v>
      </x:c>
      <x:c r="AD14" s="138" t="n">
        <x:v>1840</x:v>
      </x:c>
      <x:c r="AE14" s="90" t="str">
        <x:v>当前价格已变化，采用当前最低价返程</x:v>
      </x:c>
      <x:c r="AF14" s="92" t="str">
        <x:v>https://www.google.com/travel/flights/search?tfs=CBwQAhpLEgoyMDI2LTEwLTAzIiAKA1BWRxIKMjAyNi0xMC0wMxoDTEpHKgI5QzIENjYxN2oMCAISCC9tLzA2d2pmcg0IAhIJL20vMDJmcTRrGikSCjIwMjYtMTAtMDlqDQgCEgkvbS8wMmZxNGtyDAgCEggvbS8wNndqZkABSAFwAYIBCwj___________8BmAEB&amp;tfu=CmxDalJJTjI1cVh5MTFabXBWVjI5QlJXMDBUV2RDUnkwdExTMHRMWE5sZEc0eU5pMXVNVUZCUVVGQlIzRlpSR05aVEZVd0xXbEJFZ1k1UXpZMk1UY2FDZ2l3RGhBQUdnTkRUbGs0SEhEeDFRRT0SAggAIgMKATA&amp;hl=zh-CN&amp;curr=CNY</x:v>
      </x:c>
    </x:row>
    <x:row r="15" ht="42" customHeight="1">
      <x:c r="A15" s="85" t="n">
        <x:f>ROW()-7</x:f>
        <x:v>8</x:v>
      </x:c>
      <x:c r="B15" s="86" t="n">
        <x:v>46299</x:v>
      </x:c>
      <x:c r="C15" s="86" t="n">
        <x:v>46303</x:v>
      </x:c>
      <x:c r="D15" s="87" t="n">
        <x:v>4</x:v>
      </x:c>
      <x:c r="E15" s="88" t="str">
        <x:v>春航</x:v>
      </x:c>
      <x:c r="F15" s="88" t="str">
        <x:v>17:05</x:v>
      </x:c>
      <x:c r="G15" s="88" t="str">
        <x:v>20:50</x:v>
      </x:c>
      <x:c r="H15" s="88" t="str">
        <x:v>上海浦东国际机场</x:v>
      </x:c>
      <x:c r="I15" s="88" t="str">
        <x:v>丽江三义机场</x:v>
      </x:c>
      <x:c r="J15" s="88" t="n">
        <x:v>0</x:v>
      </x:c>
      <x:c r="K15" s="88" t="str">
        <x:v>—</x:v>
      </x:c>
      <x:c r="L15" s="88" t="str">
        <x:v>3 小时 45 分钟</x:v>
      </x:c>
      <x:c r="M15" s="89" t="n">
        <x:v>1810</x:v>
      </x:c>
      <x:c r="N15" s="89" t="n">
        <x:v>350</x:v>
      </x:c>
      <x:c r="O15" s="89" t="n">
        <x:f>M15+N15</x:f>
        <x:v>2160</x:v>
      </x:c>
      <x:c r="P15" s="88" t="str">
        <x:f>IF(O15&lt;5000,"是","否")</x:f>
        <x:v>是</x:v>
      </x:c>
      <x:c r="Q15" s="90" t="str">
        <x:v>春秋低价票可能不含托运；按国内往返20kg保守预留¥350</x:v>
      </x:c>
      <x:c r="R15" s="90" t="str">
        <x:v>该去程对应的最低可订返程组合；具体返程航班需打开来源链接确认</x:v>
      </x:c>
      <x:c r="S15" s="91" t="n">
        <x:v>46267.74647805555</x:v>
      </x:c>
      <x:c r="T15" s="92" t="str">
        <x:v>https://www.google.com/travel/flights?hl=zh-CN&amp;curr=CNY&amp;q=Flights%20from%20Shanghai%20to%20Lijiang%20from%202026-10-04%20to%202026-10-08</x:v>
      </x:c>
      <x:c r="U15" s="136" t="n">
        <x:v>46303</x:v>
      </x:c>
      <x:c r="V15" s="90" t="str">
        <x:v>21:35</x:v>
      </x:c>
      <x:c r="W15" s="90" t="str">
        <x:v>丽江三义机场</x:v>
      </x:c>
      <x:c r="X15" s="137" t="n">
        <x:v>46304</x:v>
      </x:c>
      <x:c r="Y15" s="90" t="str">
        <x:v>01:10</x:v>
      </x:c>
      <x:c r="Z15" s="90" t="str">
        <x:v>上海浦东国际机场</x:v>
      </x:c>
      <x:c r="AA15" s="90" t="str">
        <x:v>春航</x:v>
      </x:c>
      <x:c r="AB15" s="90" t="n">
        <x:v>0</x:v>
      </x:c>
      <x:c r="AC15" s="90" t="str">
        <x:v>3 小时 35 分钟</x:v>
      </x:c>
      <x:c r="AD15" s="138" t="n">
        <x:v>1810</x:v>
      </x:c>
      <x:c r="AE15" s="90" t="str">
        <x:v>匹配原始往返起价</x:v>
      </x:c>
      <x:c r="AF15" s="92" t="str">
        <x:v>https://www.google.com/travel/flights/search?tfs=CBwQAhpLEgoyMDI2LTEwLTA0IiAKA1BWRxIKMjAyNi0xMC0wNBoDTEpHKgI5QzIENjYxN2oMCAISCC9tLzA2d2pmcg0IAhIJL20vMDJmcTRrGikSCjIwMjYtMTAtMDhqDQgCEgkvbS8wMmZxNGtyDAgCEggvbS8wNndqZkABSAFwAYIBCwj___________8BmAEB&amp;tfu=CmxDalJJVGxGb1IzSTNiM1ZaTUVsQlJXeENkbEZDUnkwdExTMHRMUzB0TFhObGRYVXlNa0ZCUVVGQlIzRlpSR05aVFhKRGNsZEJFZ1k1UXpZMk1UY2FDZ2lTRGhBQUdnTkRUbGs0SEhDejBnRT0SAggAIgMKATA&amp;hl=zh-CN&amp;curr=CNY</x:v>
      </x:c>
    </x:row>
    <x:row r="16" ht="42" customHeight="1">
      <x:c r="A16" s="85" t="n">
        <x:f>ROW()-7</x:f>
        <x:v>9</x:v>
      </x:c>
      <x:c r="B16" s="86" t="n">
        <x:v>46299</x:v>
      </x:c>
      <x:c r="C16" s="86" t="n">
        <x:v>46304</x:v>
      </x:c>
      <x:c r="D16" s="87" t="n">
        <x:v>5</x:v>
      </x:c>
      <x:c r="E16" s="88" t="str">
        <x:v>吉祥航空</x:v>
      </x:c>
      <x:c r="F16" s="88" t="str">
        <x:v>14:55</x:v>
      </x:c>
      <x:c r="G16" s="88" t="str">
        <x:v>18:40</x:v>
      </x:c>
      <x:c r="H16" s="88" t="str">
        <x:v>上海浦东国际机场</x:v>
      </x:c>
      <x:c r="I16" s="88" t="str">
        <x:v>丽江三义机场</x:v>
      </x:c>
      <x:c r="J16" s="88" t="n">
        <x:v>0</x:v>
      </x:c>
      <x:c r="K16" s="88" t="str">
        <x:v>—</x:v>
      </x:c>
      <x:c r="L16" s="88" t="str">
        <x:v>3 小时 45 分钟</x:v>
      </x:c>
      <x:c r="M16" s="89" t="n">
        <x:v>2241</x:v>
      </x:c>
      <x:c r="N16" s="89" t="n">
        <x:v>0</x:v>
      </x:c>
      <x:c r="O16" s="89" t="n">
        <x:f>M16+N16</x:f>
        <x:v>2241</x:v>
      </x:c>
      <x:c r="P16" s="88" t="str">
        <x:f>IF(O16&lt;5000,"是","否")</x:f>
        <x:v>是</x:v>
      </x:c>
      <x:c r="Q16" s="90" t="str">
        <x:v>国内经济舱通常含20kg；出票前须按实际票价等级复核</x:v>
      </x:c>
      <x:c r="R16" s="90" t="str">
        <x:v>该去程对应的最低可订返程组合；具体返程航班需打开来源链接确认</x:v>
      </x:c>
      <x:c r="S16" s="91" t="n">
        <x:v>46267.74647805555</x:v>
      </x:c>
      <x:c r="T16" s="92" t="str">
        <x:v>https://www.google.com/travel/flights?hl=zh-CN&amp;curr=CNY&amp;q=Flights%20from%20Shanghai%20to%20Lijiang%20from%202026-10-04%20to%202026-10-09</x:v>
      </x:c>
      <x:c r="U16" s="136" t="n">
        <x:v>46304</x:v>
      </x:c>
      <x:c r="V16" s="90" t="str">
        <x:v>12:25</x:v>
      </x:c>
      <x:c r="W16" s="90" t="str">
        <x:v>丽江三义机场</x:v>
      </x:c>
      <x:c r="X16" s="137" t="n">
        <x:v>46304</x:v>
      </x:c>
      <x:c r="Y16" s="90" t="str">
        <x:v>15:55</x:v>
      </x:c>
      <x:c r="Z16" s="90" t="str">
        <x:v>上海浦东国际机场</x:v>
      </x:c>
      <x:c r="AA16" s="90" t="str">
        <x:v>吉祥航空</x:v>
      </x:c>
      <x:c r="AB16" s="90" t="n">
        <x:v>0</x:v>
      </x:c>
      <x:c r="AC16" s="90" t="str">
        <x:v>3 小时 30 分钟</x:v>
      </x:c>
      <x:c r="AD16" s="138"/>
      <x:c r="AE16" s="90" t="str">
        <x:v>当前返程列表无价格，采用排序第一条</x:v>
      </x:c>
      <x:c r="AF16" s="92" t="str">
        <x:v>https://www.google.com/travel/flights/search?tfs=CBwQAhpLEgoyMDI2LTEwLTA0IiAKA1BWRxIKMjAyNi0xMC0wNBoDTEpHKgJITzIEMTIyOWoMCAISCC9tLzA2d2pmcg0IAhIJL20vMDJmcTRrGikSCjIwMjYtMTAtMDlqDQgCEgkvbS8wMmZxNGtyDAgCEggvbS8wNndqZkABSAFwAYIBCwj___________8BmAEB&amp;tfu=ClhDalJJY2pKUlRVOUphVk5QUmxsQlJIZFpPVkZDUnkwdExTMHRMUzB0TFMxemJXRXhNMEZCUVVGQlIzRlpSR1JGUW5neVRXRkJFZ1pJVHpFeU1qazRIQT09EgIIACIA&amp;hl=zh-CN&amp;curr=CNY</x:v>
      </x:c>
    </x:row>
    <x:row r="17" ht="42" customHeight="1">
      <x:c r="A17" s="85" t="n">
        <x:f>ROW()-7</x:f>
        <x:v>10</x:v>
      </x:c>
      <x:c r="B17" s="86" t="n">
        <x:v>46299</x:v>
      </x:c>
      <x:c r="C17" s="86" t="n">
        <x:v>46303</x:v>
      </x:c>
      <x:c r="D17" s="87" t="n">
        <x:v>4</x:v>
      </x:c>
      <x:c r="E17" s="88" t="str">
        <x:v>春航</x:v>
      </x:c>
      <x:c r="F17" s="88" t="str">
        <x:v>13:45</x:v>
      </x:c>
      <x:c r="G17" s="88" t="str">
        <x:v>17:35</x:v>
      </x:c>
      <x:c r="H17" s="88" t="str">
        <x:v>上海浦东国际机场</x:v>
      </x:c>
      <x:c r="I17" s="88" t="str">
        <x:v>丽江三义机场</x:v>
      </x:c>
      <x:c r="J17" s="88" t="n">
        <x:v>0</x:v>
      </x:c>
      <x:c r="K17" s="88" t="str">
        <x:v>—</x:v>
      </x:c>
      <x:c r="L17" s="88" t="str">
        <x:v>3 小时 50 分钟</x:v>
      </x:c>
      <x:c r="M17" s="89" t="n">
        <x:v>1900</x:v>
      </x:c>
      <x:c r="N17" s="89" t="n">
        <x:v>350</x:v>
      </x:c>
      <x:c r="O17" s="89" t="n">
        <x:f>M17+N17</x:f>
        <x:v>2250</x:v>
      </x:c>
      <x:c r="P17" s="88" t="str">
        <x:f>IF(O17&lt;5000,"是","否")</x:f>
        <x:v>是</x:v>
      </x:c>
      <x:c r="Q17" s="90" t="str">
        <x:v>春秋低价票可能不含托运；按国内往返20kg保守预留¥350</x:v>
      </x:c>
      <x:c r="R17" s="90" t="str">
        <x:v>该去程对应的最低可订返程组合；具体返程航班需打开来源链接确认</x:v>
      </x:c>
      <x:c r="S17" s="91" t="n">
        <x:v>46267.74647805555</x:v>
      </x:c>
      <x:c r="T17" s="92" t="str">
        <x:v>https://www.google.com/travel/flights?hl=zh-CN&amp;curr=CNY&amp;q=Flights%20from%20Shanghai%20to%20Lijiang%20from%202026-10-04%20to%202026-10-08</x:v>
      </x:c>
      <x:c r="U17" s="136" t="n">
        <x:v>46303</x:v>
      </x:c>
      <x:c r="V17" s="90" t="str">
        <x:v>21:35</x:v>
      </x:c>
      <x:c r="W17" s="90" t="str">
        <x:v>丽江三义机场</x:v>
      </x:c>
      <x:c r="X17" s="137" t="n">
        <x:v>46304</x:v>
      </x:c>
      <x:c r="Y17" s="90" t="str">
        <x:v>01:10</x:v>
      </x:c>
      <x:c r="Z17" s="90" t="str">
        <x:v>上海浦东国际机场</x:v>
      </x:c>
      <x:c r="AA17" s="90" t="str">
        <x:v>春航</x:v>
      </x:c>
      <x:c r="AB17" s="90" t="n">
        <x:v>0</x:v>
      </x:c>
      <x:c r="AC17" s="90" t="str">
        <x:v>3 小时 35 分钟</x:v>
      </x:c>
      <x:c r="AD17" s="138" t="n">
        <x:v>1900</x:v>
      </x:c>
      <x:c r="AE17" s="90" t="str">
        <x:v>匹配原始往返起价</x:v>
      </x:c>
      <x:c r="AF17" s="92" t="str">
        <x:v>https://www.google.com/travel/flights/search?tfs=CBwQAhpLEgoyMDI2LTEwLTA0IiAKA1BWRxIKMjAyNi0xMC0wNBoDTEpHKgI5QzIENzExNWoMCAISCC9tLzA2d2pmcg0IAhIJL20vMDJmcTRrGikSCjIwMjYtMTAtMDhqDQgCEgkvbS8wMmZxNGtyDAgCEggvbS8wNndqZkABSAFwAYIBCwj___________8BmAEB&amp;tfu=CmxDalJJVGxGb1IzSTNiM1ZaTUVsQlJXeEdhVkZDUnkwdExTMHRMUzB0TFhObGRYVXlNa0ZCUVVGQlIzRlpSR1JCVG5SQ1NtOUJFZ1k1UXpjeE1UVWFDZ2pzRGhBQUdnTkRUbGs0SEhEdTNBRT0SAggAIgMKATA&amp;hl=zh-CN&amp;curr=CNY</x:v>
      </x:c>
    </x:row>
    <x:row r="18" ht="42" customHeight="1">
      <x:c r="A18" s="85" t="n">
        <x:f>ROW()-7</x:f>
        <x:v>11</x:v>
      </x:c>
      <x:c r="B18" s="86" t="n">
        <x:v>46298</x:v>
      </x:c>
      <x:c r="C18" s="86" t="n">
        <x:v>46304</x:v>
      </x:c>
      <x:c r="D18" s="87" t="n">
        <x:v>6</x:v>
      </x:c>
      <x:c r="E18" s="88" t="str">
        <x:v>春航</x:v>
      </x:c>
      <x:c r="F18" s="88" t="str">
        <x:v>08:35</x:v>
      </x:c>
      <x:c r="G18" s="88" t="str">
        <x:v>12:20</x:v>
      </x:c>
      <x:c r="H18" s="88" t="str">
        <x:v>上海浦东国际机场</x:v>
      </x:c>
      <x:c r="I18" s="88" t="str">
        <x:v>丽江三义机场</x:v>
      </x:c>
      <x:c r="J18" s="88" t="n">
        <x:v>0</x:v>
      </x:c>
      <x:c r="K18" s="88" t="str">
        <x:v>—</x:v>
      </x:c>
      <x:c r="L18" s="88" t="str">
        <x:v>3 小时 45 分钟</x:v>
      </x:c>
      <x:c r="M18" s="89" t="n">
        <x:v>1910</x:v>
      </x:c>
      <x:c r="N18" s="89" t="n">
        <x:v>350</x:v>
      </x:c>
      <x:c r="O18" s="89" t="n">
        <x:f>M18+N18</x:f>
        <x:v>2260</x:v>
      </x:c>
      <x:c r="P18" s="88" t="str">
        <x:f>IF(O18&lt;5000,"是","否")</x:f>
        <x:v>是</x:v>
      </x:c>
      <x:c r="Q18" s="90" t="str">
        <x:v>春秋低价票可能不含托运；按国内往返20kg保守预留¥350</x:v>
      </x:c>
      <x:c r="R18" s="90" t="str">
        <x:v>该去程对应的最低可订返程组合；具体返程航班需打开来源链接确认</x:v>
      </x:c>
      <x:c r="S18" s="91" t="n">
        <x:v>46267.74647805555</x:v>
      </x:c>
      <x:c r="T18" s="92" t="str">
        <x:v>https://www.google.com/travel/flights?hl=zh-CN&amp;curr=CNY&amp;q=Flights%20from%20Shanghai%20to%20Lijiang%20from%202026-10-03%20to%202026-10-09</x:v>
      </x:c>
      <x:c r="U18" s="136" t="n">
        <x:v>46304</x:v>
      </x:c>
      <x:c r="V18" s="90" t="str">
        <x:v>18:20</x:v>
      </x:c>
      <x:c r="W18" s="90" t="str">
        <x:v>丽江三义机场</x:v>
      </x:c>
      <x:c r="X18" s="137" t="n">
        <x:v>46304</x:v>
      </x:c>
      <x:c r="Y18" s="90" t="str">
        <x:v>21:50</x:v>
      </x:c>
      <x:c r="Z18" s="90" t="str">
        <x:v>上海浦东国际机场</x:v>
      </x:c>
      <x:c r="AA18" s="90" t="str">
        <x:v>春航</x:v>
      </x:c>
      <x:c r="AB18" s="90" t="n">
        <x:v>0</x:v>
      </x:c>
      <x:c r="AC18" s="90" t="str">
        <x:v>3 小时 30 分钟</x:v>
      </x:c>
      <x:c r="AD18" s="138" t="n">
        <x:v>2060</x:v>
      </x:c>
      <x:c r="AE18" s="90" t="str">
        <x:v>当前价格已变化，采用当前最低价返程</x:v>
      </x:c>
      <x:c r="AF18" s="92" t="str">
        <x:v>https://www.google.com/travel/flights/search?tfs=CBwQAhpLEgoyMDI2LTEwLTAzIiAKA1BWRxIKMjAyNi0xMC0wMxoDTEpHKgI5QzIENjczM2oMCAISCC9tLzA2d2pmcg0IAhIJL20vMDJmcTRrGikSCjIwMjYtMTAtMDlqDQgCEgkvbS8wMmZxNGtyDAgCEggvbS8wNndqZkABSAFwAYIBCwj___________8BmAEB&amp;tfu=CmxDalJJYnpSMU9IcEhkWFk1WVc5QlJucHpSMEZDUnkwdExTMHRMUzB0TFhObFlteG9OMEZCUVVGQlIzRlpSR1JGUVVKdVZsTkJFZ1k1UXpZM016TWFDZ2lNRUJBQUdnTkRUbGs0SEhDNzd3RT0SAggAIgMKATA&amp;hl=zh-CN&amp;curr=CNY</x:v>
      </x:c>
    </x:row>
    <x:row r="19" ht="42" customHeight="1">
      <x:c r="A19" s="85" t="n">
        <x:f>ROW()-7</x:f>
        <x:v>12</x:v>
      </x:c>
      <x:c r="B19" s="86" t="n">
        <x:v>46298</x:v>
      </x:c>
      <x:c r="C19" s="86" t="n">
        <x:v>46304</x:v>
      </x:c>
      <x:c r="D19" s="87" t="n">
        <x:v>6</x:v>
      </x:c>
      <x:c r="E19" s="88" t="str">
        <x:v>春航</x:v>
      </x:c>
      <x:c r="F19" s="88" t="str">
        <x:v>13:45</x:v>
      </x:c>
      <x:c r="G19" s="88" t="str">
        <x:v>17:35</x:v>
      </x:c>
      <x:c r="H19" s="88" t="str">
        <x:v>上海浦东国际机场</x:v>
      </x:c>
      <x:c r="I19" s="88" t="str">
        <x:v>丽江三义机场</x:v>
      </x:c>
      <x:c r="J19" s="88" t="n">
        <x:v>0</x:v>
      </x:c>
      <x:c r="K19" s="88" t="str">
        <x:v>—</x:v>
      </x:c>
      <x:c r="L19" s="88" t="str">
        <x:v>3 小时 50 分钟</x:v>
      </x:c>
      <x:c r="M19" s="89" t="n">
        <x:v>1910</x:v>
      </x:c>
      <x:c r="N19" s="89" t="n">
        <x:v>350</x:v>
      </x:c>
      <x:c r="O19" s="89" t="n">
        <x:f>M19+N19</x:f>
        <x:v>2260</x:v>
      </x:c>
      <x:c r="P19" s="88" t="str">
        <x:f>IF(O19&lt;5000,"是","否")</x:f>
        <x:v>是</x:v>
      </x:c>
      <x:c r="Q19" s="90" t="str">
        <x:v>春秋低价票可能不含托运；按国内往返20kg保守预留¥350</x:v>
      </x:c>
      <x:c r="R19" s="90" t="str">
        <x:v>该去程对应的最低可订返程组合；具体返程航班需打开来源链接确认</x:v>
      </x:c>
      <x:c r="S19" s="91" t="n">
        <x:v>46267.74647805555</x:v>
      </x:c>
      <x:c r="T19" s="92" t="str">
        <x:v>https://www.google.com/travel/flights?hl=zh-CN&amp;curr=CNY&amp;q=Flights%20from%20Shanghai%20to%20Lijiang%20from%202026-10-03%20to%202026-10-09</x:v>
      </x:c>
      <x:c r="U19" s="136" t="n">
        <x:v>46304</x:v>
      </x:c>
      <x:c r="V19" s="90" t="str">
        <x:v>18:20</x:v>
      </x:c>
      <x:c r="W19" s="90" t="str">
        <x:v>丽江三义机场</x:v>
      </x:c>
      <x:c r="X19" s="137" t="n">
        <x:v>46304</x:v>
      </x:c>
      <x:c r="Y19" s="90" t="str">
        <x:v>21:50</x:v>
      </x:c>
      <x:c r="Z19" s="90" t="str">
        <x:v>上海浦东国际机场</x:v>
      </x:c>
      <x:c r="AA19" s="90" t="str">
        <x:v>春航</x:v>
      </x:c>
      <x:c r="AB19" s="90" t="n">
        <x:v>0</x:v>
      </x:c>
      <x:c r="AC19" s="90" t="str">
        <x:v>3 小时 30 分钟</x:v>
      </x:c>
      <x:c r="AD19" s="138" t="n">
        <x:v>2060</x:v>
      </x:c>
      <x:c r="AE19" s="90" t="str">
        <x:v>当前价格已变化，采用当前最低价返程</x:v>
      </x:c>
      <x:c r="AF19" s="92" t="str">
        <x:v>https://www.google.com/travel/flights/search?tfs=CBwQAhpLEgoyMDI2LTEwLTAzIiAKA1BWRxIKMjAyNi0xMC0wMxoDTEpHKgI5QzIENzExNWoMCAISCC9tLzA2d2pmcg0IAhIJL20vMDJmcTRrGikSCjIwMjYtMTAtMDlqDQgCEgkvbS8wMmZxNGtyDAgCEggvbS8wNndqZkABSAFwAYIBCwj___________8BmAEB&amp;tfu=CmxDalJJTFhrM016ZFNRVGg0ZUZGQlJYRjNaV2RDUnkwdExTMHRMUzF6WldKdU15MXVNa0ZCUVVGQlIzRlpSR1JGUkU1Sk1rZEJFZ1k1UXpjeE1UVWFDZ2lNRUJBQUdnTkRUbGs0SEhDNzd3RT0SAggAIgMKATA&amp;hl=zh-CN&amp;curr=CNY</x:v>
      </x:c>
    </x:row>
    <x:row r="20" ht="42" customHeight="1">
      <x:c r="A20" s="85" t="n">
        <x:f>ROW()-7</x:f>
        <x:v>13</x:v>
      </x:c>
      <x:c r="B20" s="86" t="n">
        <x:v>46299</x:v>
      </x:c>
      <x:c r="C20" s="86" t="n">
        <x:v>46303</x:v>
      </x:c>
      <x:c r="D20" s="87" t="n">
        <x:v>4</x:v>
      </x:c>
      <x:c r="E20" s="88" t="str">
        <x:v>春航</x:v>
      </x:c>
      <x:c r="F20" s="88" t="str">
        <x:v>08:35</x:v>
      </x:c>
      <x:c r="G20" s="88" t="str">
        <x:v>12:20</x:v>
      </x:c>
      <x:c r="H20" s="88" t="str">
        <x:v>上海浦东国际机场</x:v>
      </x:c>
      <x:c r="I20" s="88" t="str">
        <x:v>丽江三义机场</x:v>
      </x:c>
      <x:c r="J20" s="88" t="n">
        <x:v>0</x:v>
      </x:c>
      <x:c r="K20" s="88" t="str">
        <x:v>—</x:v>
      </x:c>
      <x:c r="L20" s="88" t="str">
        <x:v>3 小时 45 分钟</x:v>
      </x:c>
      <x:c r="M20" s="89" t="n">
        <x:v>2000</x:v>
      </x:c>
      <x:c r="N20" s="89" t="n">
        <x:v>350</x:v>
      </x:c>
      <x:c r="O20" s="89" t="n">
        <x:f>M20+N20</x:f>
        <x:v>2350</x:v>
      </x:c>
      <x:c r="P20" s="88" t="str">
        <x:f>IF(O20&lt;5000,"是","否")</x:f>
        <x:v>是</x:v>
      </x:c>
      <x:c r="Q20" s="90" t="str">
        <x:v>春秋低价票可能不含托运；按国内往返20kg保守预留¥350</x:v>
      </x:c>
      <x:c r="R20" s="90" t="str">
        <x:v>该去程对应的最低可订返程组合；具体返程航班需打开来源链接确认</x:v>
      </x:c>
      <x:c r="S20" s="91" t="n">
        <x:v>46267.74647805555</x:v>
      </x:c>
      <x:c r="T20" s="92" t="str">
        <x:v>https://www.google.com/travel/flights?hl=zh-CN&amp;curr=CNY&amp;q=Flights%20from%20Shanghai%20to%20Lijiang%20from%202026-10-04%20to%202026-10-08</x:v>
      </x:c>
      <x:c r="U20" s="136" t="n">
        <x:v>46303</x:v>
      </x:c>
      <x:c r="V20" s="90" t="str">
        <x:v>21:35</x:v>
      </x:c>
      <x:c r="W20" s="90" t="str">
        <x:v>丽江三义机场</x:v>
      </x:c>
      <x:c r="X20" s="137" t="n">
        <x:v>46304</x:v>
      </x:c>
      <x:c r="Y20" s="90" t="str">
        <x:v>01:10</x:v>
      </x:c>
      <x:c r="Z20" s="90" t="str">
        <x:v>上海浦东国际机场</x:v>
      </x:c>
      <x:c r="AA20" s="90" t="str">
        <x:v>春航</x:v>
      </x:c>
      <x:c r="AB20" s="90" t="n">
        <x:v>0</x:v>
      </x:c>
      <x:c r="AC20" s="90" t="str">
        <x:v>3 小时 35 分钟</x:v>
      </x:c>
      <x:c r="AD20" s="138" t="n">
        <x:v>2000</x:v>
      </x:c>
      <x:c r="AE20" s="90" t="str">
        <x:v>匹配原始往返起价</x:v>
      </x:c>
      <x:c r="AF20" s="92" t="str">
        <x:v>https://www.google.com/travel/flights/search?tfs=CBwQAhpLEgoyMDI2LTEwLTA0IiAKA1BWRxIKMjAyNi0xMC0wNBoDTEpHKgI5QzIENjczM2oMCAISCC9tLzA2d2pmcg0IAhIJL20vMDJmcTRrGikSCjIwMjYtMTAtMDhqDQgCEgkvbS8wMmZxNGtyDAgCEggvbS8wNndqZkABSAFwAYIBCwj___________8BmAEB&amp;tfu=CmxDalJJT1hWcVIzUnVRa3BOUjAxQlJVSnJWa0ZDUnkwdExTMHRMWE50ZEhneE5pMXVNa0ZCUVVGQlIzRlpSR1J6U0RaSk9HTkJFZ1k1UXpZM016TWFDZ2pRRHhBQUdnTkRUbGs0SEhDKzZBRT0SAggAIgMKATA&amp;hl=zh-CN&amp;curr=CNY</x:v>
      </x:c>
    </x:row>
    <x:row r="21" ht="42" customHeight="1">
      <x:c r="A21" s="85" t="n">
        <x:f>ROW()-7</x:f>
        <x:v>14</x:v>
      </x:c>
      <x:c r="B21" s="86" t="n">
        <x:v>46298</x:v>
      </x:c>
      <x:c r="C21" s="86" t="n">
        <x:v>46304</x:v>
      </x:c>
      <x:c r="D21" s="87" t="n">
        <x:v>6</x:v>
      </x:c>
      <x:c r="E21" s="88" t="str">
        <x:v>吉祥航空</x:v>
      </x:c>
      <x:c r="F21" s="88" t="str">
        <x:v>14:55</x:v>
      </x:c>
      <x:c r="G21" s="88" t="str">
        <x:v>18:40</x:v>
      </x:c>
      <x:c r="H21" s="88" t="str">
        <x:v>上海浦东国际机场</x:v>
      </x:c>
      <x:c r="I21" s="88" t="str">
        <x:v>丽江三义机场</x:v>
      </x:c>
      <x:c r="J21" s="88" t="n">
        <x:v>0</x:v>
      </x:c>
      <x:c r="K21" s="88" t="str">
        <x:v>—</x:v>
      </x:c>
      <x:c r="L21" s="88" t="str">
        <x:v>3 小时 45 分钟</x:v>
      </x:c>
      <x:c r="M21" s="89" t="n">
        <x:v>2476</x:v>
      </x:c>
      <x:c r="N21" s="89" t="n">
        <x:v>0</x:v>
      </x:c>
      <x:c r="O21" s="89" t="n">
        <x:f>M21+N21</x:f>
        <x:v>2476</x:v>
      </x:c>
      <x:c r="P21" s="88" t="str">
        <x:f>IF(O21&lt;5000,"是","否")</x:f>
        <x:v>是</x:v>
      </x:c>
      <x:c r="Q21" s="90" t="str">
        <x:v>国内经济舱通常含20kg；出票前须按实际票价等级复核</x:v>
      </x:c>
      <x:c r="R21" s="90" t="str">
        <x:v>该去程对应的最低可订返程组合；具体返程航班需打开来源链接确认</x:v>
      </x:c>
      <x:c r="S21" s="91" t="n">
        <x:v>46267.74647805555</x:v>
      </x:c>
      <x:c r="T21" s="92" t="str">
        <x:v>https://www.google.com/travel/flights?hl=zh-CN&amp;curr=CNY&amp;q=Flights%20from%20Shanghai%20to%20Lijiang%20from%202026-10-03%20to%202026-10-09</x:v>
      </x:c>
      <x:c r="U21" s="136" t="n">
        <x:v>46304</x:v>
      </x:c>
      <x:c r="V21" s="90" t="str">
        <x:v>12:25</x:v>
      </x:c>
      <x:c r="W21" s="90" t="str">
        <x:v>丽江三义机场</x:v>
      </x:c>
      <x:c r="X21" s="137" t="n">
        <x:v>46304</x:v>
      </x:c>
      <x:c r="Y21" s="90" t="str">
        <x:v>15:55</x:v>
      </x:c>
      <x:c r="Z21" s="90" t="str">
        <x:v>上海浦东国际机场</x:v>
      </x:c>
      <x:c r="AA21" s="90" t="str">
        <x:v>吉祥航空</x:v>
      </x:c>
      <x:c r="AB21" s="90" t="n">
        <x:v>0</x:v>
      </x:c>
      <x:c r="AC21" s="90" t="str">
        <x:v>3 小时 30 分钟</x:v>
      </x:c>
      <x:c r="AD21" s="138"/>
      <x:c r="AE21" s="90" t="str">
        <x:v>当前返程列表无价格，采用排序第一条</x:v>
      </x:c>
      <x:c r="AF21" s="92" t="str">
        <x:v>https://www.google.com/travel/flights/search?tfs=CBwQAhpLEgoyMDI2LTEwLTAzIiAKA1BWRxIKMjAyNi0xMC0wMxoDTEpHKgJITzIEMTIyOWoMCAISCC9tLzA2d2pmcg0IAhIJL20vMDJmcTRrGikSCjIwMjYtMTAtMDlqDQgCEgkvbS8wMmZxNGtyDAgCEggvbS8wNndqZkABSAFwAYIBCwj___________8BmAEB&amp;tfu=ClhDalJJVEVWeVNtOXViVTh0ZVZGQlJYSklSVkZDUnkwdExTMHRMUzB0TFMxelpXTmpPVUZCUVVGQlIzRlpSR1J6U1haR2JtTkJFZ1pJVHpFeU1qazRIQT09EgIIACIA&amp;hl=zh-CN&amp;curr=CNY</x:v>
      </x:c>
    </x:row>
    <x:row r="22" ht="42" customHeight="1">
      <x:c r="A22" s="85" t="n">
        <x:f>ROW()-7</x:f>
        <x:v>15</x:v>
      </x:c>
      <x:c r="B22" s="86" t="n">
        <x:v>46298</x:v>
      </x:c>
      <x:c r="C22" s="86" t="n">
        <x:v>46303</x:v>
      </x:c>
      <x:c r="D22" s="87" t="n">
        <x:v>5</x:v>
      </x:c>
      <x:c r="E22" s="88" t="str">
        <x:v>春航</x:v>
      </x:c>
      <x:c r="F22" s="88" t="str">
        <x:v>17:05</x:v>
      </x:c>
      <x:c r="G22" s="88" t="str">
        <x:v>20:50</x:v>
      </x:c>
      <x:c r="H22" s="88" t="str">
        <x:v>上海浦东国际机场</x:v>
      </x:c>
      <x:c r="I22" s="88" t="str">
        <x:v>丽江三义机场</x:v>
      </x:c>
      <x:c r="J22" s="88" t="n">
        <x:v>0</x:v>
      </x:c>
      <x:c r="K22" s="88" t="str">
        <x:v>—</x:v>
      </x:c>
      <x:c r="L22" s="88" t="str">
        <x:v>3 小时 45 分钟</x:v>
      </x:c>
      <x:c r="M22" s="89" t="n">
        <x:v>2130</x:v>
      </x:c>
      <x:c r="N22" s="89" t="n">
        <x:v>350</x:v>
      </x:c>
      <x:c r="O22" s="89" t="n">
        <x:f>M22+N22</x:f>
        <x:v>2480</x:v>
      </x:c>
      <x:c r="P22" s="88" t="str">
        <x:f>IF(O22&lt;5000,"是","否")</x:f>
        <x:v>是</x:v>
      </x:c>
      <x:c r="Q22" s="90" t="str">
        <x:v>春秋低价票可能不含托运；按国内往返20kg保守预留¥350</x:v>
      </x:c>
      <x:c r="R22" s="90" t="str">
        <x:v>该去程对应的最低可订返程组合；具体返程航班需打开来源链接确认</x:v>
      </x:c>
      <x:c r="S22" s="91" t="n">
        <x:v>46267.74647805555</x:v>
      </x:c>
      <x:c r="T22" s="92" t="str">
        <x:v>https://www.google.com/travel/flights?hl=zh-CN&amp;curr=CNY&amp;q=Flights%20from%20Shanghai%20to%20Lijiang%20from%202026-10-03%20to%202026-10-08</x:v>
      </x:c>
      <x:c r="U22" s="136" t="n">
        <x:v>46303</x:v>
      </x:c>
      <x:c r="V22" s="90" t="str">
        <x:v>21:35</x:v>
      </x:c>
      <x:c r="W22" s="90" t="str">
        <x:v>丽江三义机场</x:v>
      </x:c>
      <x:c r="X22" s="137" t="n">
        <x:v>46304</x:v>
      </x:c>
      <x:c r="Y22" s="90" t="str">
        <x:v>01:10</x:v>
      </x:c>
      <x:c r="Z22" s="90" t="str">
        <x:v>上海浦东国际机场</x:v>
      </x:c>
      <x:c r="AA22" s="90" t="str">
        <x:v>春航</x:v>
      </x:c>
      <x:c r="AB22" s="90" t="n">
        <x:v>0</x:v>
      </x:c>
      <x:c r="AC22" s="90" t="str">
        <x:v>3 小时 35 分钟</x:v>
      </x:c>
      <x:c r="AD22" s="138" t="n">
        <x:v>2130</x:v>
      </x:c>
      <x:c r="AE22" s="90" t="str">
        <x:v>匹配原始往返起价</x:v>
      </x:c>
      <x:c r="AF22" s="92" t="str">
        <x:v>https://www.google.com/travel/flights/search?tfs=CBwQAhpLEgoyMDI2LTEwLTAzIiAKA1BWRxIKMjAyNi0xMC0wMxoDTEpHKgI5QzIENjYxN2oMCAISCC9tLzA2d2pmcg0IAhIJL20vMDJmcTRrGikSCjIwMjYtMTAtMDhqDQgCEgkvbS8wMmZxNGtyDAgCEggvbS8wNndqZkABSAFwAYIBCwj___________8BmAEB&amp;tfu=CmxDalJJZEU5VWJEQndRbVpTWVhkQlIyWkJWVUZDUnkwdExTMHRMUzB0YzJWaVozSXpNMEZCUVVGQlIzRlpSR1J6U1hWdGJrVkJFZ1k1UXpZMk1UY2FDZ2pTRUJBQUdnTkRUbGs0SEhETTl3RT0SAggAIgMKATA&amp;hl=zh-CN&amp;curr=CNY</x:v>
      </x:c>
    </x:row>
    <x:row r="23" ht="42" customHeight="1">
      <x:c r="A23" s="85" t="n">
        <x:f>ROW()-7</x:f>
        <x:v>16</x:v>
      </x:c>
      <x:c r="B23" s="86" t="n">
        <x:v>46298</x:v>
      </x:c>
      <x:c r="C23" s="86" t="n">
        <x:v>46303</x:v>
      </x:c>
      <x:c r="D23" s="87" t="n">
        <x:v>5</x:v>
      </x:c>
      <x:c r="E23" s="88" t="str">
        <x:v>吉祥航空</x:v>
      </x:c>
      <x:c r="F23" s="88" t="str">
        <x:v>14:55</x:v>
      </x:c>
      <x:c r="G23" s="88" t="str">
        <x:v>18:40</x:v>
      </x:c>
      <x:c r="H23" s="88" t="str">
        <x:v>上海浦东国际机场</x:v>
      </x:c>
      <x:c r="I23" s="88" t="str">
        <x:v>丽江三义机场</x:v>
      </x:c>
      <x:c r="J23" s="88" t="n">
        <x:v>0</x:v>
      </x:c>
      <x:c r="K23" s="88" t="str">
        <x:v>—</x:v>
      </x:c>
      <x:c r="L23" s="88" t="str">
        <x:v>3 小时 45 分钟</x:v>
      </x:c>
      <x:c r="M23" s="89" t="n">
        <x:v>2531</x:v>
      </x:c>
      <x:c r="N23" s="89" t="n">
        <x:v>0</x:v>
      </x:c>
      <x:c r="O23" s="89" t="n">
        <x:f>M23+N23</x:f>
        <x:v>2531</x:v>
      </x:c>
      <x:c r="P23" s="88" t="str">
        <x:f>IF(O23&lt;5000,"是","否")</x:f>
        <x:v>是</x:v>
      </x:c>
      <x:c r="Q23" s="90" t="str">
        <x:v>国内经济舱通常含20kg；出票前须按实际票价等级复核</x:v>
      </x:c>
      <x:c r="R23" s="90" t="str">
        <x:v>该去程对应的最低可订返程组合；具体返程航班需打开来源链接确认</x:v>
      </x:c>
      <x:c r="S23" s="91" t="n">
        <x:v>46267.74647805555</x:v>
      </x:c>
      <x:c r="T23" s="92" t="str">
        <x:v>https://www.google.com/travel/flights?hl=zh-CN&amp;curr=CNY&amp;q=Flights%20from%20Shanghai%20to%20Lijiang%20from%202026-10-03%20to%202026-10-08</x:v>
      </x:c>
      <x:c r="U23" s="136" t="n">
        <x:v>46303</x:v>
      </x:c>
      <x:c r="V23" s="90" t="str">
        <x:v>12:25</x:v>
      </x:c>
      <x:c r="W23" s="90" t="str">
        <x:v>丽江三义机场</x:v>
      </x:c>
      <x:c r="X23" s="137" t="n">
        <x:v>46303</x:v>
      </x:c>
      <x:c r="Y23" s="90" t="str">
        <x:v>15:45</x:v>
      </x:c>
      <x:c r="Z23" s="90" t="str">
        <x:v>上海浦东国际机场</x:v>
      </x:c>
      <x:c r="AA23" s="90" t="str">
        <x:v>吉祥航空</x:v>
      </x:c>
      <x:c r="AB23" s="90" t="n">
        <x:v>0</x:v>
      </x:c>
      <x:c r="AC23" s="90" t="str">
        <x:v>3 小时 20 分钟</x:v>
      </x:c>
      <x:c r="AD23" s="138"/>
      <x:c r="AE23" s="90" t="str">
        <x:v>当前返程列表无价格，采用排序第一条</x:v>
      </x:c>
      <x:c r="AF23" s="92" t="str">
        <x:v>https://www.google.com/travel/flights/search?tfs=CBwQAhpLEgoyMDI2LTEwLTAzIiAKA1BWRxIKMjAyNi0xMC0wMxoDTEpHKgJITzIEMTIyOWoMCAISCC9tLzA2d2pmcg0IAhIJL20vMDJmcTRrGikSCjIwMjYtMTAtMDhqDQgCEgkvbS8wMmZxNGtyDAgCEggvbS8wNndqZkABSAFwAYIBCwj___________8BmAEB&amp;tfu=ClhDalJJUlROeFMwUnNXWFJRZEUxQlJWaFliVkZDUnkwdExTMHRMWE50Y0hReE5DMXVNVUZCUVVGQlIzRlpSR1J6UzNOVlVUaEJFZ1pJVHpFeU1qazRIQT09EgIIACIA&amp;hl=zh-CN&amp;curr=CNY</x:v>
      </x:c>
    </x:row>
    <x:row r="24" ht="42" customHeight="1">
      <x:c r="A24" s="85" t="n">
        <x:f>ROW()-7</x:f>
        <x:v>17</x:v>
      </x:c>
      <x:c r="B24" s="86" t="n">
        <x:v>46299</x:v>
      </x:c>
      <x:c r="C24" s="86" t="n">
        <x:v>46304</x:v>
      </x:c>
      <x:c r="D24" s="87" t="n">
        <x:v>5</x:v>
      </x:c>
      <x:c r="E24" s="88" t="str">
        <x:v>吉祥航空</x:v>
      </x:c>
      <x:c r="F24" s="88" t="str">
        <x:v>08:00</x:v>
      </x:c>
      <x:c r="G24" s="88" t="str">
        <x:v>11:40</x:v>
      </x:c>
      <x:c r="H24" s="88" t="str">
        <x:v>上海浦东国际机场</x:v>
      </x:c>
      <x:c r="I24" s="88" t="str">
        <x:v>丽江三义机场</x:v>
      </x:c>
      <x:c r="J24" s="88" t="n">
        <x:v>0</x:v>
      </x:c>
      <x:c r="K24" s="88" t="str">
        <x:v>—</x:v>
      </x:c>
      <x:c r="L24" s="88" t="str">
        <x:v>3 小时 40 分钟</x:v>
      </x:c>
      <x:c r="M24" s="89" t="n">
        <x:v>2536</x:v>
      </x:c>
      <x:c r="N24" s="89" t="n">
        <x:v>0</x:v>
      </x:c>
      <x:c r="O24" s="89" t="n">
        <x:f>M24+N24</x:f>
        <x:v>2536</x:v>
      </x:c>
      <x:c r="P24" s="88" t="str">
        <x:f>IF(O24&lt;5000,"是","否")</x:f>
        <x:v>是</x:v>
      </x:c>
      <x:c r="Q24" s="90" t="str">
        <x:v>国内经济舱通常含20kg；出票前须按实际票价等级复核</x:v>
      </x:c>
      <x:c r="R24" s="90" t="str">
        <x:v>该去程对应的最低可订返程组合；具体返程航班需打开来源链接确认</x:v>
      </x:c>
      <x:c r="S24" s="91" t="n">
        <x:v>46267.74647805555</x:v>
      </x:c>
      <x:c r="T24" s="92" t="str">
        <x:v>https://www.google.com/travel/flights?hl=zh-CN&amp;curr=CNY&amp;q=Flights%20from%20Shanghai%20to%20Lijiang%20from%202026-10-04%20to%202026-10-09</x:v>
      </x:c>
      <x:c r="U24" s="136" t="n">
        <x:v>46304</x:v>
      </x:c>
      <x:c r="V24" s="90" t="str">
        <x:v>08:50</x:v>
      </x:c>
      <x:c r="W24" s="90" t="str">
        <x:v>丽江三义机场</x:v>
      </x:c>
      <x:c r="X24" s="137" t="n">
        <x:v>46304</x:v>
      </x:c>
      <x:c r="Y24" s="90" t="str">
        <x:v>15:45</x:v>
      </x:c>
      <x:c r="Z24" s="90" t="str">
        <x:v>上海浦东国际机场</x:v>
      </x:c>
      <x:c r="AA24" s="90" t="str">
        <x:v>国航</x:v>
      </x:c>
      <x:c r="AB24" s="90" t="n">
        <x:v>1</x:v>
      </x:c>
      <x:c r="AC24" s="90" t="str">
        <x:v>6 小时 55 分钟</x:v>
      </x:c>
      <x:c r="AD24" s="138"/>
      <x:c r="AE24" s="90" t="str">
        <x:v>当前返程列表无价格，采用排序第一条</x:v>
      </x:c>
      <x:c r="AF24" s="92" t="str">
        <x:v>https://www.google.com/travel/flights/search?tfs=CBwQAhpLEgoyMDI2LTEwLTA0IiAKA1BWRxIKMjAyNi0xMC0wNBoDTEpHKgJITzIEMTIyN2oMCAISCC9tLzA2d2pmcg0IAhIJL20vMDJmcTRrGikSCjIwMjYtMTAtMDlqDQgCEgkvbS8wMmZxNGtyDAgCEggvbS8wNndqZkABSAFwAYIBCwj___________8BmAEB&amp;tfu=ClhDalJJWkZWWlJYTm9WSE5zUkc5QlJVaHhNMmRDUnkwdExTMHRMWE50WW1aM09TMXVNVUZCUVVGQlIzRlpSR1ZWVEUxb2FUQkJFZ1pJVHpFeU1qYzRIQT09EgIIACIDCgEw&amp;hl=zh-CN&amp;curr=CNY</x:v>
      </x:c>
    </x:row>
    <x:row r="25" ht="42" customHeight="1">
      <x:c r="A25" s="85" t="n">
        <x:f>ROW()-7</x:f>
        <x:v>18</x:v>
      </x:c>
      <x:c r="B25" s="86" t="n">
        <x:v>46297</x:v>
      </x:c>
      <x:c r="C25" s="86" t="n">
        <x:v>46304</x:v>
      </x:c>
      <x:c r="D25" s="87" t="n">
        <x:v>7</x:v>
      </x:c>
      <x:c r="E25" s="88" t="str">
        <x:v>春航</x:v>
      </x:c>
      <x:c r="F25" s="88" t="str">
        <x:v>17:05</x:v>
      </x:c>
      <x:c r="G25" s="88" t="str">
        <x:v>20:50</x:v>
      </x:c>
      <x:c r="H25" s="88" t="str">
        <x:v>上海浦东国际机场</x:v>
      </x:c>
      <x:c r="I25" s="88" t="str">
        <x:v>丽江三义机场</x:v>
      </x:c>
      <x:c r="J25" s="88" t="n">
        <x:v>0</x:v>
      </x:c>
      <x:c r="K25" s="88" t="str">
        <x:v>—</x:v>
      </x:c>
      <x:c r="L25" s="88" t="str">
        <x:v>3 小时 45 分钟</x:v>
      </x:c>
      <x:c r="M25" s="89" t="n">
        <x:v>2200</x:v>
      </x:c>
      <x:c r="N25" s="89" t="n">
        <x:v>350</x:v>
      </x:c>
      <x:c r="O25" s="89" t="n">
        <x:f>M25+N25</x:f>
        <x:v>2550</x:v>
      </x:c>
      <x:c r="P25" s="88" t="str">
        <x:f>IF(O25&lt;5000,"是","否")</x:f>
        <x:v>是</x:v>
      </x:c>
      <x:c r="Q25" s="90" t="str">
        <x:v>春秋低价票可能不含托运；按国内往返20kg保守预留¥350</x:v>
      </x:c>
      <x:c r="R25" s="90" t="str">
        <x:v>该去程对应的最低可订返程组合；具体返程航班需打开来源链接确认</x:v>
      </x:c>
      <x:c r="S25" s="91" t="n">
        <x:v>46267.74647805555</x:v>
      </x:c>
      <x:c r="T25" s="92" t="str">
        <x:v>https://www.google.com/travel/flights?hl=zh-CN&amp;curr=CNY&amp;q=Flights%20from%20Shanghai%20to%20Lijiang%20from%202026-10-02%20to%202026-10-09</x:v>
      </x:c>
      <x:c r="U25" s="136" t="n">
        <x:v>46304</x:v>
      </x:c>
      <x:c r="V25" s="90" t="str">
        <x:v>18:20</x:v>
      </x:c>
      <x:c r="W25" s="90" t="str">
        <x:v>丽江三义机场</x:v>
      </x:c>
      <x:c r="X25" s="137" t="n">
        <x:v>46304</x:v>
      </x:c>
      <x:c r="Y25" s="90" t="str">
        <x:v>21:50</x:v>
      </x:c>
      <x:c r="Z25" s="90" t="str">
        <x:v>上海浦东国际机场</x:v>
      </x:c>
      <x:c r="AA25" s="90" t="str">
        <x:v>春航</x:v>
      </x:c>
      <x:c r="AB25" s="90" t="n">
        <x:v>0</x:v>
      </x:c>
      <x:c r="AC25" s="90" t="str">
        <x:v>3 小时 30 分钟</x:v>
      </x:c>
      <x:c r="AD25" s="138" t="n">
        <x:v>2350</x:v>
      </x:c>
      <x:c r="AE25" s="90" t="str">
        <x:v>当前价格已变化，采用当前最低价返程</x:v>
      </x:c>
      <x:c r="AF25" s="92" t="str">
        <x:v>https://www.google.com/travel/flights/search?tfs=CBwQAhpLEgoyMDI2LTEwLTAyIiAKA1BWRxIKMjAyNi0xMC0wMhoDTEpHKgI5QzIENjYxN2oMCAISCC9tLzA2d2pmcg0IAhIJL20vMDJmcTRrGikSCjIwMjYtMTAtMDlqDQgCEgkvbS8wMmZxNGtyDAgCEggvbS8wNndqZkABSAFwAYIBCwj___________8BmAEB&amp;tfu=CmxDalJJY2pKUlRVOUphVk5QUmxsQlJIZG5iMmRDUnkwdExTMHRMUzB0TFMxemJXRXhNMEZCUVVGQlIzRlpSR1ZWVG5scWNFbEJFZ1k1UXpZMk1UY2FDZ2l1RWhBQUdnTkRUbGs0SEhDV2tRST0SAggAIgMKATA&amp;hl=zh-CN&amp;curr=CNY</x:v>
      </x:c>
    </x:row>
    <x:row r="26" ht="42" customHeight="1">
      <x:c r="A26" s="85" t="n">
        <x:f>ROW()-7</x:f>
        <x:v>19</x:v>
      </x:c>
      <x:c r="B26" s="86" t="n">
        <x:v>46298</x:v>
      </x:c>
      <x:c r="C26" s="86" t="n">
        <x:v>46304</x:v>
      </x:c>
      <x:c r="D26" s="87" t="n">
        <x:v>6</x:v>
      </x:c>
      <x:c r="E26" s="88" t="str">
        <x:v>吉祥航空</x:v>
      </x:c>
      <x:c r="F26" s="88" t="str">
        <x:v>08:00</x:v>
      </x:c>
      <x:c r="G26" s="88" t="str">
        <x:v>11:40</x:v>
      </x:c>
      <x:c r="H26" s="88" t="str">
        <x:v>上海浦东国际机场</x:v>
      </x:c>
      <x:c r="I26" s="88" t="str">
        <x:v>丽江三义机场</x:v>
      </x:c>
      <x:c r="J26" s="88" t="n">
        <x:v>0</x:v>
      </x:c>
      <x:c r="K26" s="88" t="str">
        <x:v>—</x:v>
      </x:c>
      <x:c r="L26" s="88" t="str">
        <x:v>3 小时 40 分钟</x:v>
      </x:c>
      <x:c r="M26" s="89" t="n">
        <x:v>2625</x:v>
      </x:c>
      <x:c r="N26" s="89" t="n">
        <x:v>0</x:v>
      </x:c>
      <x:c r="O26" s="89" t="n">
        <x:f>M26+N26</x:f>
        <x:v>2625</x:v>
      </x:c>
      <x:c r="P26" s="88" t="str">
        <x:f>IF(O26&lt;5000,"是","否")</x:f>
        <x:v>是</x:v>
      </x:c>
      <x:c r="Q26" s="90" t="str">
        <x:v>国内经济舱通常含20kg；出票前须按实际票价等级复核</x:v>
      </x:c>
      <x:c r="R26" s="90" t="str">
        <x:v>该去程对应的最低可订返程组合；具体返程航班需打开来源链接确认</x:v>
      </x:c>
      <x:c r="S26" s="91" t="n">
        <x:v>46267.74647805555</x:v>
      </x:c>
      <x:c r="T26" s="92" t="str">
        <x:v>https://www.google.com/travel/flights?hl=zh-CN&amp;curr=CNY&amp;q=Flights%20from%20Shanghai%20to%20Lijiang%20from%202026-10-03%20to%202026-10-09</x:v>
      </x:c>
      <x:c r="U26" s="136" t="n">
        <x:v>46304</x:v>
      </x:c>
      <x:c r="V26" s="90" t="str">
        <x:v>08:50</x:v>
      </x:c>
      <x:c r="W26" s="90" t="str">
        <x:v>丽江三义机场</x:v>
      </x:c>
      <x:c r="X26" s="137" t="n">
        <x:v>46304</x:v>
      </x:c>
      <x:c r="Y26" s="90" t="str">
        <x:v>15:45</x:v>
      </x:c>
      <x:c r="Z26" s="90" t="str">
        <x:v>上海浦东国际机场</x:v>
      </x:c>
      <x:c r="AA26" s="90" t="str">
        <x:v>国航</x:v>
      </x:c>
      <x:c r="AB26" s="90" t="n">
        <x:v>1</x:v>
      </x:c>
      <x:c r="AC26" s="90" t="str">
        <x:v>6 小时 55 分钟</x:v>
      </x:c>
      <x:c r="AD26" s="138"/>
      <x:c r="AE26" s="90" t="str">
        <x:v>当前返程列表无价格，采用排序第一条</x:v>
      </x:c>
      <x:c r="AF26" s="92" t="str">
        <x:v>https://www.google.com/travel/flights/search?tfs=CBwQAhpLEgoyMDI2LTEwLTAzIiAKA1BWRxIKMjAyNi0xMC0wMxoDTEpHKgJITzIEMTIyN2oMCAISCC9tLzA2d2pmcg0IAhIJL20vMDJmcTRrGikSCjIwMjYtMTAtMDlqDQgCEgkvbS8wMmZxNGtyDAgCEggvbS8wNndqZkABSAFwAYIBCwj___________8BmAEB&amp;tfu=ClhDalJJVEVvMGRVZFVjWE5mVEZsQlJXOTJlRkZDUnkwdExTMHRMUzB0YzJWaVpXRTBNVUZCUVVGQlIzRlpSR1ZWVFcwelZpMUJFZ1pJVHpFeU1qYzRIQT09EgIIACIDCgEw&amp;hl=zh-CN&amp;curr=CNY</x:v>
      </x:c>
    </x:row>
    <x:row r="27" ht="42" customHeight="1">
      <x:c r="A27" s="85" t="n">
        <x:f>ROW()-7</x:f>
        <x:v>20</x:v>
      </x:c>
      <x:c r="B27" s="86" t="n">
        <x:v>46298</x:v>
      </x:c>
      <x:c r="C27" s="86" t="n">
        <x:v>46303</x:v>
      </x:c>
      <x:c r="D27" s="87" t="n">
        <x:v>5</x:v>
      </x:c>
      <x:c r="E27" s="88" t="str">
        <x:v>东航</x:v>
      </x:c>
      <x:c r="F27" s="88" t="str">
        <x:v>06:45</x:v>
      </x:c>
      <x:c r="G27" s="88" t="str">
        <x:v>10:30</x:v>
      </x:c>
      <x:c r="H27" s="88" t="str">
        <x:v>上海浦东国际机场</x:v>
      </x:c>
      <x:c r="I27" s="88" t="str">
        <x:v>丽江三义机场</x:v>
      </x:c>
      <x:c r="J27" s="88" t="n">
        <x:v>0</x:v>
      </x:c>
      <x:c r="K27" s="88" t="str">
        <x:v>—</x:v>
      </x:c>
      <x:c r="L27" s="88" t="str">
        <x:v>3 小时 45 分钟</x:v>
      </x:c>
      <x:c r="M27" s="89" t="n">
        <x:v>2678</x:v>
      </x:c>
      <x:c r="N27" s="89" t="n">
        <x:v>0</x:v>
      </x:c>
      <x:c r="O27" s="89" t="n">
        <x:f>M27+N27</x:f>
        <x:v>2678</x:v>
      </x:c>
      <x:c r="P27" s="88" t="str">
        <x:f>IF(O27&lt;5000,"是","否")</x:f>
        <x:v>是</x:v>
      </x:c>
      <x:c r="Q27" s="90" t="str">
        <x:v>国内经济舱通常含20kg；出票前须按实际票价等级复核</x:v>
      </x:c>
      <x:c r="R27" s="90" t="str">
        <x:v>该去程对应的最低可订返程组合；具体返程航班需打开来源链接确认</x:v>
      </x:c>
      <x:c r="S27" s="91" t="n">
        <x:v>46267.74647805555</x:v>
      </x:c>
      <x:c r="T27" s="92" t="str">
        <x:v>https://www.google.com/travel/flights?hl=zh-CN&amp;curr=CNY&amp;q=Flights%20from%20Shanghai%20to%20Lijiang%20from%202026-10-03%20to%202026-10-08</x:v>
      </x:c>
      <x:c r="U27" s="136" t="n">
        <x:v>46303</x:v>
      </x:c>
      <x:c r="V27" s="90" t="str">
        <x:v>11:20</x:v>
      </x:c>
      <x:c r="W27" s="90" t="str">
        <x:v>丽江三义机场</x:v>
      </x:c>
      <x:c r="X27" s="137" t="n">
        <x:v>46303</x:v>
      </x:c>
      <x:c r="Y27" s="90" t="str">
        <x:v>14:35</x:v>
      </x:c>
      <x:c r="Z27" s="90" t="str">
        <x:v>上海浦东国际机场</x:v>
      </x:c>
      <x:c r="AA27" s="90" t="str">
        <x:v>东航</x:v>
      </x:c>
      <x:c r="AB27" s="90" t="n">
        <x:v>0</x:v>
      </x:c>
      <x:c r="AC27" s="90" t="str">
        <x:v>3 小时 15 分钟</x:v>
      </x:c>
      <x:c r="AD27" s="138"/>
      <x:c r="AE27" s="90" t="str">
        <x:v>当前返程列表无价格，采用排序第一条</x:v>
      </x:c>
      <x:c r="AF27" s="92" t="str">
        <x:v>https://www.google.com/travel/flights/search?tfs=CBwQAhpLEgoyMDI2LTEwLTAzIiAKA1BWRxIKMjAyNi0xMC0wMxoDTEpHKgJNVTIENjE0NWoMCAISCC9tLzA2d2pmcg0IAhIJL20vMDJmcTRrGikSCjIwMjYtMTAtMDhqDQgCEgkvbS8wMmZxNGtyDAgCEggvbS8wNndqZkABSAFwAYIBCwj___________8BmAEB&amp;tfu=ClhDalJJTlU4M1RFRndjM05IY25OQlJscFJNbWRDUnkwdExTMHRMUzB0TFhOdFltUm5ORUZCUVVGQlIzRlpSR1ZWVERGSFEyMUJFZ1pOVlRZeE5EVTRIQT09EgIIACIA&amp;hl=zh-CN&amp;curr=CNY</x:v>
      </x:c>
    </x:row>
    <x:row r="28" ht="42" customHeight="1">
      <x:c r="A28" s="85" t="n">
        <x:f>ROW()-7</x:f>
        <x:v>21</x:v>
      </x:c>
      <x:c r="B28" s="86" t="n">
        <x:v>46297</x:v>
      </x:c>
      <x:c r="C28" s="86" t="n">
        <x:v>46304</x:v>
      </x:c>
      <x:c r="D28" s="87" t="n">
        <x:v>7</x:v>
      </x:c>
      <x:c r="E28" s="88" t="str">
        <x:v>春航</x:v>
      </x:c>
      <x:c r="F28" s="88" t="str">
        <x:v>13:45</x:v>
      </x:c>
      <x:c r="G28" s="88" t="str">
        <x:v>17:35</x:v>
      </x:c>
      <x:c r="H28" s="88" t="str">
        <x:v>上海浦东国际机场</x:v>
      </x:c>
      <x:c r="I28" s="88" t="str">
        <x:v>丽江三义机场</x:v>
      </x:c>
      <x:c r="J28" s="88" t="n">
        <x:v>0</x:v>
      </x:c>
      <x:c r="K28" s="88" t="str">
        <x:v>—</x:v>
      </x:c>
      <x:c r="L28" s="88" t="str">
        <x:v>3 小时 50 分钟</x:v>
      </x:c>
      <x:c r="M28" s="89" t="n">
        <x:v>2350</x:v>
      </x:c>
      <x:c r="N28" s="89" t="n">
        <x:v>350</x:v>
      </x:c>
      <x:c r="O28" s="89" t="n">
        <x:f>M28+N28</x:f>
        <x:v>2700</x:v>
      </x:c>
      <x:c r="P28" s="88" t="str">
        <x:f>IF(O28&lt;5000,"是","否")</x:f>
        <x:v>是</x:v>
      </x:c>
      <x:c r="Q28" s="90" t="str">
        <x:v>春秋低价票可能不含托运；按国内往返20kg保守预留¥350</x:v>
      </x:c>
      <x:c r="R28" s="90" t="str">
        <x:v>该去程对应的最低可订返程组合；具体返程航班需打开来源链接确认</x:v>
      </x:c>
      <x:c r="S28" s="91" t="n">
        <x:v>46267.74647805555</x:v>
      </x:c>
      <x:c r="T28" s="92" t="str">
        <x:v>https://www.google.com/travel/flights?hl=zh-CN&amp;curr=CNY&amp;q=Flights%20from%20Shanghai%20to%20Lijiang%20from%202026-10-02%20to%202026-10-09</x:v>
      </x:c>
      <x:c r="U28" s="136" t="n">
        <x:v>46304</x:v>
      </x:c>
      <x:c r="V28" s="90" t="str">
        <x:v>18:20</x:v>
      </x:c>
      <x:c r="W28" s="90" t="str">
        <x:v>丽江三义机场</x:v>
      </x:c>
      <x:c r="X28" s="137" t="n">
        <x:v>46304</x:v>
      </x:c>
      <x:c r="Y28" s="90" t="str">
        <x:v>21:50</x:v>
      </x:c>
      <x:c r="Z28" s="90" t="str">
        <x:v>上海浦东国际机场</x:v>
      </x:c>
      <x:c r="AA28" s="90" t="str">
        <x:v>春航</x:v>
      </x:c>
      <x:c r="AB28" s="90" t="n">
        <x:v>0</x:v>
      </x:c>
      <x:c r="AC28" s="90" t="str">
        <x:v>3 小时 30 分钟</x:v>
      </x:c>
      <x:c r="AD28" s="138" t="n">
        <x:v>2500</x:v>
      </x:c>
      <x:c r="AE28" s="90" t="str">
        <x:v>当前价格已变化，采用当前最低价返程</x:v>
      </x:c>
      <x:c r="AF28" s="92" t="str">
        <x:v>https://www.google.com/travel/flights/search?tfs=CBwQAhpLEgoyMDI2LTEwLTAyIiAKA1BWRxIKMjAyNi0xMC0wMhoDTEpHKgI5QzIENzExNWoMCAISCC9tLzA2d2pmcg0IAhIJL20vMDJmcTRrGikSCjIwMjYtMTAtMDlqDQgCEgkvbS8wMmZxNGtyDAgCEggvbS8wNndqZkABSAFwAYIBCwj___________8BmAEB&amp;tfu=CmxDalJJTFdzelFXRXhNM05FT1ZGQlJWUXRRbWRDUnkwdExTMHRMUzB0TFMxelpXRmtOa0ZCUVVGQlIzRlpSR1U0U1V4eU4ybEJFZ1k1UXpjeE1UVWFDZ2pFRXhBQUdnTkRUbGs0SEhET29nST0SAggAIgMKATA&amp;hl=zh-CN&amp;curr=CNY</x:v>
      </x:c>
    </x:row>
    <x:row r="29" ht="42" customHeight="1">
      <x:c r="A29" s="85" t="n">
        <x:f>ROW()-7</x:f>
        <x:v>22</x:v>
      </x:c>
      <x:c r="B29" s="86" t="n">
        <x:v>46298</x:v>
      </x:c>
      <x:c r="C29" s="86" t="n">
        <x:v>46303</x:v>
      </x:c>
      <x:c r="D29" s="87" t="n">
        <x:v>5</x:v>
      </x:c>
      <x:c r="E29" s="88" t="str">
        <x:v>春航</x:v>
      </x:c>
      <x:c r="F29" s="88" t="str">
        <x:v>08:35</x:v>
      </x:c>
      <x:c r="G29" s="88" t="str">
        <x:v>12:20</x:v>
      </x:c>
      <x:c r="H29" s="88" t="str">
        <x:v>上海浦东国际机场</x:v>
      </x:c>
      <x:c r="I29" s="88" t="str">
        <x:v>丽江三义机场</x:v>
      </x:c>
      <x:c r="J29" s="88" t="n">
        <x:v>0</x:v>
      </x:c>
      <x:c r="K29" s="88" t="str">
        <x:v>—</x:v>
      </x:c>
      <x:c r="L29" s="88" t="str">
        <x:v>3 小时 45 分钟</x:v>
      </x:c>
      <x:c r="M29" s="89" t="n">
        <x:v>2350</x:v>
      </x:c>
      <x:c r="N29" s="89" t="n">
        <x:v>350</x:v>
      </x:c>
      <x:c r="O29" s="89" t="n">
        <x:f>M29+N29</x:f>
        <x:v>2700</x:v>
      </x:c>
      <x:c r="P29" s="88" t="str">
        <x:f>IF(O29&lt;5000,"是","否")</x:f>
        <x:v>是</x:v>
      </x:c>
      <x:c r="Q29" s="90" t="str">
        <x:v>春秋低价票可能不含托运；按国内往返20kg保守预留¥350</x:v>
      </x:c>
      <x:c r="R29" s="90" t="str">
        <x:v>该去程对应的最低可订返程组合；具体返程航班需打开来源链接确认</x:v>
      </x:c>
      <x:c r="S29" s="91" t="n">
        <x:v>46267.74647805555</x:v>
      </x:c>
      <x:c r="T29" s="92" t="str">
        <x:v>https://www.google.com/travel/flights?hl=zh-CN&amp;curr=CNY&amp;q=Flights%20from%20Shanghai%20to%20Lijiang%20from%202026-10-03%20to%202026-10-08</x:v>
      </x:c>
      <x:c r="U29" s="136" t="n">
        <x:v>46303</x:v>
      </x:c>
      <x:c r="V29" s="90" t="str">
        <x:v>21:35</x:v>
      </x:c>
      <x:c r="W29" s="90" t="str">
        <x:v>丽江三义机场</x:v>
      </x:c>
      <x:c r="X29" s="137" t="n">
        <x:v>46304</x:v>
      </x:c>
      <x:c r="Y29" s="90" t="str">
        <x:v>01:10</x:v>
      </x:c>
      <x:c r="Z29" s="90" t="str">
        <x:v>上海浦东国际机场</x:v>
      </x:c>
      <x:c r="AA29" s="90" t="str">
        <x:v>春航</x:v>
      </x:c>
      <x:c r="AB29" s="90" t="n">
        <x:v>0</x:v>
      </x:c>
      <x:c r="AC29" s="90" t="str">
        <x:v>3 小时 35 分钟</x:v>
      </x:c>
      <x:c r="AD29" s="138" t="n">
        <x:v>2350</x:v>
      </x:c>
      <x:c r="AE29" s="90" t="str">
        <x:v>匹配原始往返起价</x:v>
      </x:c>
      <x:c r="AF29" s="92" t="str">
        <x:v>https://www.google.com/travel/flights/search?tfs=CBwQAhpLEgoyMDI2LTEwLTAzIiAKA1BWRxIKMjAyNi0xMC0wMxoDTEpHKgI5QzIENjczM2oMCAISCC9tLzA2d2pmcg0IAhIJL20vMDJmcTRrGikSCjIwMjYtMTAtMDhqDQgCEgkvbS8wMmZxNGtyDAgCEggvbS8wNndqZkABSAFwAYIBCwj___________8BmAEB&amp;tfu=CmxDalJJZEU5VWJEQndRbVpTWVhkQlIyWkxOSGRDUnkwdExTMHRMUzB0YzJWaVozSXpNMEZCUVVGQlIzRlpSR1U0U3pCVk1XOUJFZ1k1UXpZM016TWFDZ2l1RWhBQUdnTkRUbGs0SEhDV2tRST0SAggAIgMKATA&amp;hl=zh-CN&amp;curr=CNY</x:v>
      </x:c>
    </x:row>
    <x:row r="30" ht="42" customHeight="1">
      <x:c r="A30" s="85" t="n">
        <x:f>ROW()-7</x:f>
        <x:v>23</x:v>
      </x:c>
      <x:c r="B30" s="86" t="n">
        <x:v>46298</x:v>
      </x:c>
      <x:c r="C30" s="86" t="n">
        <x:v>46303</x:v>
      </x:c>
      <x:c r="D30" s="87" t="n">
        <x:v>5</x:v>
      </x:c>
      <x:c r="E30" s="88" t="str">
        <x:v>春航</x:v>
      </x:c>
      <x:c r="F30" s="88" t="str">
        <x:v>13:45</x:v>
      </x:c>
      <x:c r="G30" s="88" t="str">
        <x:v>17:35</x:v>
      </x:c>
      <x:c r="H30" s="88" t="str">
        <x:v>上海浦东国际机场</x:v>
      </x:c>
      <x:c r="I30" s="88" t="str">
        <x:v>丽江三义机场</x:v>
      </x:c>
      <x:c r="J30" s="88" t="n">
        <x:v>0</x:v>
      </x:c>
      <x:c r="K30" s="88" t="str">
        <x:v>—</x:v>
      </x:c>
      <x:c r="L30" s="88" t="str">
        <x:v>3 小时 50 分钟</x:v>
      </x:c>
      <x:c r="M30" s="89" t="n">
        <x:v>2350</x:v>
      </x:c>
      <x:c r="N30" s="89" t="n">
        <x:v>350</x:v>
      </x:c>
      <x:c r="O30" s="89" t="n">
        <x:f>M30+N30</x:f>
        <x:v>2700</x:v>
      </x:c>
      <x:c r="P30" s="88" t="str">
        <x:f>IF(O30&lt;5000,"是","否")</x:f>
        <x:v>是</x:v>
      </x:c>
      <x:c r="Q30" s="90" t="str">
        <x:v>春秋低价票可能不含托运；按国内往返20kg保守预留¥350</x:v>
      </x:c>
      <x:c r="R30" s="90" t="str">
        <x:v>该去程对应的最低可订返程组合；具体返程航班需打开来源链接确认</x:v>
      </x:c>
      <x:c r="S30" s="91" t="n">
        <x:v>46267.74647805555</x:v>
      </x:c>
      <x:c r="T30" s="92" t="str">
        <x:v>https://www.google.com/travel/flights?hl=zh-CN&amp;curr=CNY&amp;q=Flights%20from%20Shanghai%20to%20Lijiang%20from%202026-10-03%20to%202026-10-08</x:v>
      </x:c>
      <x:c r="U30" s="136" t="n">
        <x:v>46303</x:v>
      </x:c>
      <x:c r="V30" s="90" t="str">
        <x:v>21:35</x:v>
      </x:c>
      <x:c r="W30" s="90" t="str">
        <x:v>丽江三义机场</x:v>
      </x:c>
      <x:c r="X30" s="137" t="n">
        <x:v>46304</x:v>
      </x:c>
      <x:c r="Y30" s="90" t="str">
        <x:v>01:10</x:v>
      </x:c>
      <x:c r="Z30" s="90" t="str">
        <x:v>上海浦东国际机场</x:v>
      </x:c>
      <x:c r="AA30" s="90" t="str">
        <x:v>春航</x:v>
      </x:c>
      <x:c r="AB30" s="90" t="n">
        <x:v>0</x:v>
      </x:c>
      <x:c r="AC30" s="90" t="str">
        <x:v>3 小时 35 分钟</x:v>
      </x:c>
      <x:c r="AD30" s="138" t="n">
        <x:v>2350</x:v>
      </x:c>
      <x:c r="AE30" s="90" t="str">
        <x:v>匹配原始往返起价</x:v>
      </x:c>
      <x:c r="AF30" s="92" t="str">
        <x:v>https://www.google.com/travel/flights/search?tfs=CBwQAhpLEgoyMDI2LTEwLTAzIiAKA1BWRxIKMjAyNi0xMC0wMxoDTEpHKgI5QzIENzExNWoMCAISCC9tLzA2d2pmcg0IAhIJL20vMDJmcTRrGikSCjIwMjYtMTAtMDhqDQgCEgkvbS8wMmZxNGtyDAgCEggvbS8wNndqZkABSAFwAYIBCwj___________8BmAEB&amp;tfu=CmxDalJJUlROeFMwUnNXWFJRZEUxQlJWaGtOR2RDUnkwdExTMHRMWE50Y0hReE5DMXVNVUZCUVVGQlIzRlpSR1YzUldZMVNFTkJFZ1k1UXpjeE1UVWFDZ2l1RWhBQUdnTkRUbGs0SFhDV2tRST0SAggAIgMKATA&amp;hl=zh-CN&amp;curr=CNY</x:v>
      </x:c>
    </x:row>
    <x:row r="31" ht="42" customHeight="1">
      <x:c r="A31" s="85" t="n">
        <x:f>ROW()-7</x:f>
        <x:v>24</x:v>
      </x:c>
      <x:c r="B31" s="86" t="n">
        <x:v>46298</x:v>
      </x:c>
      <x:c r="C31" s="86" t="n">
        <x:v>46303</x:v>
      </x:c>
      <x:c r="D31" s="87" t="n">
        <x:v>5</x:v>
      </x:c>
      <x:c r="E31" s="88" t="str">
        <x:v>国航</x:v>
      </x:c>
      <x:c r="F31" s="88" t="str">
        <x:v>08:00</x:v>
      </x:c>
      <x:c r="G31" s="88" t="str">
        <x:v>12:05</x:v>
      </x:c>
      <x:c r="H31" s="88" t="str">
        <x:v>上海浦东国际机场</x:v>
      </x:c>
      <x:c r="I31" s="88" t="str">
        <x:v>丽江三义机场</x:v>
      </x:c>
      <x:c r="J31" s="88" t="n">
        <x:v>0</x:v>
      </x:c>
      <x:c r="K31" s="88" t="str">
        <x:v>—</x:v>
      </x:c>
      <x:c r="L31" s="88" t="str">
        <x:v>4 小时 5 分钟</x:v>
      </x:c>
      <x:c r="M31" s="89" t="n">
        <x:v>2780</x:v>
      </x:c>
      <x:c r="N31" s="89" t="n">
        <x:v>0</x:v>
      </x:c>
      <x:c r="O31" s="89" t="n">
        <x:f>M31+N31</x:f>
        <x:v>2780</x:v>
      </x:c>
      <x:c r="P31" s="88" t="str">
        <x:f>IF(O31&lt;5000,"是","否")</x:f>
        <x:v>是</x:v>
      </x:c>
      <x:c r="Q31" s="90" t="str">
        <x:v>国内经济舱通常含20kg；出票前须按实际票价等级复核</x:v>
      </x:c>
      <x:c r="R31" s="90" t="str">
        <x:v>该去程对应的最低可订返程组合；具体返程航班需打开来源链接确认</x:v>
      </x:c>
      <x:c r="S31" s="91" t="n">
        <x:v>46267.74647805555</x:v>
      </x:c>
      <x:c r="T31" s="92" t="str">
        <x:v>https://www.google.com/travel/flights?hl=zh-CN&amp;curr=CNY&amp;q=Flights%20from%20Shanghai%20to%20Lijiang%20from%202026-10-03%20to%202026-10-08</x:v>
      </x:c>
      <x:c r="U31" s="136" t="n">
        <x:v>46303</x:v>
      </x:c>
      <x:c r="V31" s="90" t="str">
        <x:v>12:25</x:v>
      </x:c>
      <x:c r="W31" s="90" t="str">
        <x:v>丽江三义机场</x:v>
      </x:c>
      <x:c r="X31" s="137" t="n">
        <x:v>46303</x:v>
      </x:c>
      <x:c r="Y31" s="90" t="str">
        <x:v>15:45</x:v>
      </x:c>
      <x:c r="Z31" s="90" t="str">
        <x:v>上海浦东国际机场</x:v>
      </x:c>
      <x:c r="AA31" s="90" t="str">
        <x:v>吉祥航空</x:v>
      </x:c>
      <x:c r="AB31" s="90" t="n">
        <x:v>0</x:v>
      </x:c>
      <x:c r="AC31" s="90" t="str">
        <x:v>3 小时 20 分钟</x:v>
      </x:c>
      <x:c r="AD31" s="138"/>
      <x:c r="AE31" s="90" t="str">
        <x:v>当前返程列表无价格，采用排序第一条</x:v>
      </x:c>
      <x:c r="AF31" s="92" t="str">
        <x:v>https://www.google.com/travel/flights/search?tfs=CBwQAhpLEgoyMDI2LTEwLTAzIiAKA1BWRxIKMjAyNi0xMC0wMxoDTEpHKgJDQTIEODU1OWoMCAISCC9tLzA2d2pmcg0IAhIJL20vMDJmcTRrGikSCjIwMjYtMTAtMDhqDQgCEgkvbS8wMmZxNGtyDAgCEggvbS8wNndqZkABSAFwAYIBCwj___________8BmAEB&amp;tfu=ClhDalJJVGxGb1IzSTNiM1ZaTUVsQlJXeFFORkZDUnkwdExTMHRMUzB0TFhObGRYVXlNa0ZCUVVGQlIzRlpSR1pCUVdKZmNpMUJFZ1pEUVRnMU5UazRIQT09EgIIACIA&amp;hl=zh-CN&amp;curr=CNY</x:v>
      </x:c>
    </x:row>
    <x:row r="32" ht="42" customHeight="1">
      <x:c r="A32" s="85" t="n">
        <x:f>ROW()-7</x:f>
        <x:v>25</x:v>
      </x:c>
      <x:c r="B32" s="86" t="n">
        <x:v>46297</x:v>
      </x:c>
      <x:c r="C32" s="86" t="n">
        <x:v>46304</x:v>
      </x:c>
      <x:c r="D32" s="87" t="n">
        <x:v>7</x:v>
      </x:c>
      <x:c r="E32" s="88" t="str">
        <x:v>春航</x:v>
      </x:c>
      <x:c r="F32" s="88" t="str">
        <x:v>08:35</x:v>
      </x:c>
      <x:c r="G32" s="88" t="str">
        <x:v>12:20</x:v>
      </x:c>
      <x:c r="H32" s="88" t="str">
        <x:v>上海浦东国际机场</x:v>
      </x:c>
      <x:c r="I32" s="88" t="str">
        <x:v>丽江三义机场</x:v>
      </x:c>
      <x:c r="J32" s="88" t="n">
        <x:v>0</x:v>
      </x:c>
      <x:c r="K32" s="88" t="str">
        <x:v>—</x:v>
      </x:c>
      <x:c r="L32" s="88" t="str">
        <x:v>3 小时 45 分钟</x:v>
      </x:c>
      <x:c r="M32" s="89" t="n">
        <x:v>2500</x:v>
      </x:c>
      <x:c r="N32" s="89" t="n">
        <x:v>350</x:v>
      </x:c>
      <x:c r="O32" s="89" t="n">
        <x:f>M32+N32</x:f>
        <x:v>2850</x:v>
      </x:c>
      <x:c r="P32" s="88" t="str">
        <x:f>IF(O32&lt;5000,"是","否")</x:f>
        <x:v>是</x:v>
      </x:c>
      <x:c r="Q32" s="90" t="str">
        <x:v>春秋低价票可能不含托运；按国内往返20kg保守预留¥350</x:v>
      </x:c>
      <x:c r="R32" s="90" t="str">
        <x:v>该去程对应的最低可订返程组合；具体返程航班需打开来源链接确认</x:v>
      </x:c>
      <x:c r="S32" s="91" t="n">
        <x:v>46267.74647805555</x:v>
      </x:c>
      <x:c r="T32" s="92" t="str">
        <x:v>https://www.google.com/travel/flights?hl=zh-CN&amp;curr=CNY&amp;q=Flights%20from%20Shanghai%20to%20Lijiang%20from%202026-10-02%20to%202026-10-09</x:v>
      </x:c>
      <x:c r="U32" s="136" t="n">
        <x:v>46304</x:v>
      </x:c>
      <x:c r="V32" s="90" t="str">
        <x:v>18:20</x:v>
      </x:c>
      <x:c r="W32" s="90" t="str">
        <x:v>丽江三义机场</x:v>
      </x:c>
      <x:c r="X32" s="137" t="n">
        <x:v>46304</x:v>
      </x:c>
      <x:c r="Y32" s="90" t="str">
        <x:v>21:50</x:v>
      </x:c>
      <x:c r="Z32" s="90" t="str">
        <x:v>上海浦东国际机场</x:v>
      </x:c>
      <x:c r="AA32" s="90" t="str">
        <x:v>春航</x:v>
      </x:c>
      <x:c r="AB32" s="90" t="n">
        <x:v>0</x:v>
      </x:c>
      <x:c r="AC32" s="90" t="str">
        <x:v>3 小时 30 分钟</x:v>
      </x:c>
      <x:c r="AD32" s="138" t="n">
        <x:v>2650</x:v>
      </x:c>
      <x:c r="AE32" s="90" t="str">
        <x:v>当前价格已变化，采用当前最低价返程</x:v>
      </x:c>
      <x:c r="AF32" s="92" t="str">
        <x:v>https://www.google.com/travel/flights/search?tfs=CBwQAhpLEgoyMDI2LTEwLTAyIiAKA1BWRxIKMjAyNi0xMC0wMhoDTEpHKgI5QzIENjczM2oMCAISCC9tLzA2d2pmcg0IAhIJL20vMDJmcTRrGikSCjIwMjYtMTAtMDlqDQgCEgkvbS8wMmZxNGtyDAgCEggvbS8wNndqZkABSAFwAYIBCwj___________8BmAEB&amp;tfu=CmxDalJJTFdzelFXRXhNM05FT1ZGQlJWVkdVWGRDUnkwdExTMHRMUzB0TFMxelpXRmtOa0ZCUVVGQlIzRlpSR2RKUzBsUFh5MUJFZ1k1UXpZM016TWFDZ2phRkJBQUdnTkRUbGs0SEhDR3RBST0SAggAIgMKATA&amp;hl=zh-CN&amp;curr=CNY</x:v>
      </x:c>
    </x:row>
    <x:row r="33" ht="42" customHeight="1">
      <x:c r="A33" s="85" t="n">
        <x:f>ROW()-7</x:f>
        <x:v>26</x:v>
      </x:c>
      <x:c r="B33" s="86" t="n">
        <x:v>46299</x:v>
      </x:c>
      <x:c r="C33" s="86" t="n">
        <x:v>46304</x:v>
      </x:c>
      <x:c r="D33" s="87" t="n">
        <x:v>5</x:v>
      </x:c>
      <x:c r="E33" s="88" t="str">
        <x:v>首航</x:v>
      </x:c>
      <x:c r="F33" s="88" t="str">
        <x:v>20:10</x:v>
      </x:c>
      <x:c r="G33" s="88" t="str">
        <x:v>23:50</x:v>
      </x:c>
      <x:c r="H33" s="88" t="str">
        <x:v>上海浦东国际机场</x:v>
      </x:c>
      <x:c r="I33" s="88" t="str">
        <x:v>丽江三义机场</x:v>
      </x:c>
      <x:c r="J33" s="88" t="n">
        <x:v>0</x:v>
      </x:c>
      <x:c r="K33" s="88" t="str">
        <x:v>—</x:v>
      </x:c>
      <x:c r="L33" s="88" t="str">
        <x:v>3 小时 40 分钟</x:v>
      </x:c>
      <x:c r="M33" s="89" t="n">
        <x:v>2109</x:v>
      </x:c>
      <x:c r="N33" s="89" t="n">
        <x:v>800</x:v>
      </x:c>
      <x:c r="O33" s="89" t="n">
        <x:f>M33+N33</x:f>
        <x:v>2909</x:v>
      </x:c>
      <x:c r="P33" s="88" t="str">
        <x:f>IF(O33&lt;5000,"是","否")</x:f>
        <x:v>是</x:v>
      </x:c>
      <x:c r="Q33" s="90" t="str">
        <x:v>差异化行李票价等级未知；按每程20kg最多¥400、往返保守预留¥800</x:v>
      </x:c>
      <x:c r="R33" s="90" t="str">
        <x:v>该去程对应的最低可订返程组合；具体返程航班需打开来源链接确认</x:v>
      </x:c>
      <x:c r="S33" s="91" t="n">
        <x:v>46267.74647805555</x:v>
      </x:c>
      <x:c r="T33" s="92" t="str">
        <x:v>https://www.google.com/travel/flights?hl=zh-CN&amp;curr=CNY&amp;q=Flights%20from%20Shanghai%20to%20Lijiang%20from%202026-10-04%20to%202026-10-09</x:v>
      </x:c>
      <x:c r="U33" s="136" t="n">
        <x:v>46304</x:v>
      </x:c>
      <x:c r="V33" s="90" t="str">
        <x:v>15:20</x:v>
      </x:c>
      <x:c r="W33" s="90" t="str">
        <x:v>丽江三义机场</x:v>
      </x:c>
      <x:c r="X33" s="137" t="n">
        <x:v>46304</x:v>
      </x:c>
      <x:c r="Y33" s="90" t="str">
        <x:v>19:05</x:v>
      </x:c>
      <x:c r="Z33" s="90" t="str">
        <x:v>上海浦东国际机场</x:v>
      </x:c>
      <x:c r="AA33" s="90" t="str">
        <x:v>首航</x:v>
      </x:c>
      <x:c r="AB33" s="90" t="n">
        <x:v>0</x:v>
      </x:c>
      <x:c r="AC33" s="90" t="str">
        <x:v>3 小时 45 分钟</x:v>
      </x:c>
      <x:c r="AD33" s="138"/>
      <x:c r="AE33" s="90" t="str">
        <x:v>当前返程列表无价格，采用排序第一条</x:v>
      </x:c>
      <x:c r="AF33" s="92" t="str">
        <x:v>https://www.google.com/travel/flights/search?tfs=CBwQAhpLEgoyMDI2LTEwLTA0IiAKA1BWRxIKMjAyNi0xMC0wNBoDTEpHKgJKRDIENTY2NmoMCAISCC9tLzA2d2pmcg0IAhIJL20vMDJmcTRrGikSCjIwMjYtMTAtMDlqDQgCEgkvbS8wMmZxNGtyDAgCEggvbS8wNndqZkABSAFwAYIBCwj___________8BmAEB&amp;tfu=ClhDalJJV25VMlpHdHJNMVpPY1ZsQlJVRmxVVkZDUnkwdExTMHRMUzF6YlhWa015MXVNa0ZCUVVGQlIzRlpSR2RKU1ZsV1FYbEJFZ1pLUkRVMk5qWTRIQT09EgIIACIA&amp;hl=zh-CN&amp;curr=CNY</x:v>
      </x:c>
    </x:row>
    <x:row r="34" ht="42" customHeight="1">
      <x:c r="A34" s="85" t="n">
        <x:f>ROW()-7</x:f>
        <x:v>27</x:v>
      </x:c>
      <x:c r="B34" s="86" t="n">
        <x:v>46298</x:v>
      </x:c>
      <x:c r="C34" s="86" t="n">
        <x:v>46303</x:v>
      </x:c>
      <x:c r="D34" s="87" t="n">
        <x:v>5</x:v>
      </x:c>
      <x:c r="E34" s="88" t="str">
        <x:v>吉祥航空</x:v>
      </x:c>
      <x:c r="F34" s="88" t="str">
        <x:v>08:00</x:v>
      </x:c>
      <x:c r="G34" s="88" t="str">
        <x:v>11:40</x:v>
      </x:c>
      <x:c r="H34" s="88" t="str">
        <x:v>上海浦东国际机场</x:v>
      </x:c>
      <x:c r="I34" s="88" t="str">
        <x:v>丽江三义机场</x:v>
      </x:c>
      <x:c r="J34" s="88" t="n">
        <x:v>0</x:v>
      </x:c>
      <x:c r="K34" s="88" t="str">
        <x:v>—</x:v>
      </x:c>
      <x:c r="L34" s="88" t="str">
        <x:v>3 小时 40 分钟</x:v>
      </x:c>
      <x:c r="M34" s="89" t="n">
        <x:v>2979</x:v>
      </x:c>
      <x:c r="N34" s="89" t="n">
        <x:v>0</x:v>
      </x:c>
      <x:c r="O34" s="89" t="n">
        <x:f>M34+N34</x:f>
        <x:v>2979</x:v>
      </x:c>
      <x:c r="P34" s="88" t="str">
        <x:f>IF(O34&lt;5000,"是","否")</x:f>
        <x:v>是</x:v>
      </x:c>
      <x:c r="Q34" s="90" t="str">
        <x:v>国内经济舱通常含20kg；出票前须按实际票价等级复核</x:v>
      </x:c>
      <x:c r="R34" s="90" t="str">
        <x:v>该去程对应的最低可订返程组合；具体返程航班需打开来源链接确认</x:v>
      </x:c>
      <x:c r="S34" s="91" t="n">
        <x:v>46267.74647805555</x:v>
      </x:c>
      <x:c r="T34" s="92" t="str">
        <x:v>https://www.google.com/travel/flights?hl=zh-CN&amp;curr=CNY&amp;q=Flights%20from%20Shanghai%20to%20Lijiang%20from%202026-10-03%20to%202026-10-08</x:v>
      </x:c>
      <x:c r="U34" s="136" t="n">
        <x:v>46303</x:v>
      </x:c>
      <x:c r="V34" s="90" t="str">
        <x:v>12:25</x:v>
      </x:c>
      <x:c r="W34" s="90" t="str">
        <x:v>丽江三义机场</x:v>
      </x:c>
      <x:c r="X34" s="137" t="n">
        <x:v>46303</x:v>
      </x:c>
      <x:c r="Y34" s="90" t="str">
        <x:v>15:45</x:v>
      </x:c>
      <x:c r="Z34" s="90" t="str">
        <x:v>上海浦东国际机场</x:v>
      </x:c>
      <x:c r="AA34" s="90" t="str">
        <x:v>吉祥航空</x:v>
      </x:c>
      <x:c r="AB34" s="90" t="n">
        <x:v>0</x:v>
      </x:c>
      <x:c r="AC34" s="90" t="str">
        <x:v>3 小时 20 分钟</x:v>
      </x:c>
      <x:c r="AD34" s="138"/>
      <x:c r="AE34" s="90" t="str">
        <x:v>当前返程列表无价格，采用排序第一条</x:v>
      </x:c>
      <x:c r="AF34" s="92" t="str">
        <x:v>https://www.google.com/travel/flights/search?tfs=CBwQAhpLEgoyMDI2LTEwLTAzIiAKA1BWRxIKMjAyNi0xMC0wMxoDTEpHKgJITzIEMTIyN2oMCAISCC9tLzA2d2pmcg0IAhIJL20vMDJmcTRrGikSCjIwMjYtMTAtMDhqDQgCEgkvbS8wMmZxNGtyDAgCEggvbS8wNndqZkABSAFwAYIBCwj___________8BmAEB&amp;tfu=ClhDalJJTlU4M1RFRndjM05IY25OQlJscGtVR2RDUnkwdExTMHRMUzB0TFhOdFltUm5ORUZCUVVGQlIzRlpSR2ROUkVWMFJFOUJFZ1pJVHpFeU1qYzRIQT09EgIIACIDCgEw&amp;hl=zh-CN&amp;curr=CNY</x:v>
      </x:c>
    </x:row>
    <x:row r="35" ht="42" customHeight="1">
      <x:c r="A35" s="85" t="n">
        <x:f>ROW()-7</x:f>
        <x:v>28</x:v>
      </x:c>
      <x:c r="B35" s="86" t="n">
        <x:v>46297</x:v>
      </x:c>
      <x:c r="C35" s="86" t="n">
        <x:v>46303</x:v>
      </x:c>
      <x:c r="D35" s="87" t="n">
        <x:v>6</x:v>
      </x:c>
      <x:c r="E35" s="88" t="str">
        <x:v>春航</x:v>
      </x:c>
      <x:c r="F35" s="88" t="str">
        <x:v>17:05</x:v>
      </x:c>
      <x:c r="G35" s="88" t="str">
        <x:v>20:50</x:v>
      </x:c>
      <x:c r="H35" s="88" t="str">
        <x:v>上海浦东国际机场</x:v>
      </x:c>
      <x:c r="I35" s="88" t="str">
        <x:v>丽江三义机场</x:v>
      </x:c>
      <x:c r="J35" s="88" t="n">
        <x:v>0</x:v>
      </x:c>
      <x:c r="K35" s="88" t="str">
        <x:v>—</x:v>
      </x:c>
      <x:c r="L35" s="88" t="str">
        <x:v>3 小时 45 分钟</x:v>
      </x:c>
      <x:c r="M35" s="89" t="n">
        <x:v>2640</x:v>
      </x:c>
      <x:c r="N35" s="89" t="n">
        <x:v>350</x:v>
      </x:c>
      <x:c r="O35" s="89" t="n">
        <x:f>M35+N35</x:f>
        <x:v>2990</x:v>
      </x:c>
      <x:c r="P35" s="88" t="str">
        <x:f>IF(O35&lt;5000,"是","否")</x:f>
        <x:v>是</x:v>
      </x:c>
      <x:c r="Q35" s="90" t="str">
        <x:v>春秋低价票可能不含托运；按国内往返20kg保守预留¥350</x:v>
      </x:c>
      <x:c r="R35" s="90" t="str">
        <x:v>该去程对应的最低可订返程组合；具体返程航班需打开来源链接确认</x:v>
      </x:c>
      <x:c r="S35" s="91" t="n">
        <x:v>46267.74647805555</x:v>
      </x:c>
      <x:c r="T35" s="92" t="str">
        <x:v>https://www.google.com/travel/flights?hl=zh-CN&amp;curr=CNY&amp;q=Flights%20from%20Shanghai%20to%20Lijiang%20from%202026-10-02%20to%202026-10-08</x:v>
      </x:c>
      <x:c r="U35" s="136" t="n">
        <x:v>46303</x:v>
      </x:c>
      <x:c r="V35" s="90" t="str">
        <x:v>21:35</x:v>
      </x:c>
      <x:c r="W35" s="90" t="str">
        <x:v>丽江三义机场</x:v>
      </x:c>
      <x:c r="X35" s="137" t="n">
        <x:v>46304</x:v>
      </x:c>
      <x:c r="Y35" s="90" t="str">
        <x:v>01:10</x:v>
      </x:c>
      <x:c r="Z35" s="90" t="str">
        <x:v>上海浦东国际机场</x:v>
      </x:c>
      <x:c r="AA35" s="90" t="str">
        <x:v>春航</x:v>
      </x:c>
      <x:c r="AB35" s="90" t="n">
        <x:v>0</x:v>
      </x:c>
      <x:c r="AC35" s="90" t="str">
        <x:v>3 小时 35 分钟</x:v>
      </x:c>
      <x:c r="AD35" s="138" t="n">
        <x:v>2640</x:v>
      </x:c>
      <x:c r="AE35" s="90" t="str">
        <x:v>匹配原始往返起价</x:v>
      </x:c>
      <x:c r="AF35" s="92" t="str">
        <x:v>https://www.google.com/travel/flights/search?tfs=CBwQAhpLEgoyMDI2LTEwLTAyIiAKA1BWRxIKMjAyNi0xMC0wMhoDTEpHKgI5QzIENjYxN2oMCAISCC9tLzA2d2pmcg0IAhIJL20vMDJmcTRrGikSCjIwMjYtMTAtMDhqDQgCEgkvbS8wMmZxNGtyDAgCEggvbS8wNndqZkABSAFwAYIBCwj___________8BmAEB&amp;tfu=CmxDalJJV25VMlpHdHJNMVpPY1ZsQlJVRmxVRkZDUnkwdExTMHRMUzF6YlhWa015MXVNa0ZCUVVGQlIzRlpSR2RKU0Y5eFRqQkJFZ1k1UXpZMk1UY2FDZ2pRRkJBQUdnTkRUbGs0SEhEeHNnST0SAggAIgMKATA&amp;hl=zh-CN&amp;curr=CNY</x:v>
      </x:c>
    </x:row>
    <x:row r="36" ht="42" customHeight="1">
      <x:c r="A36" s="85" t="n">
        <x:f>ROW()-7</x:f>
        <x:v>29</x:v>
      </x:c>
      <x:c r="B36" s="86" t="n">
        <x:v>46298</x:v>
      </x:c>
      <x:c r="C36" s="86" t="n">
        <x:v>46303</x:v>
      </x:c>
      <x:c r="D36" s="87" t="n">
        <x:v>5</x:v>
      </x:c>
      <x:c r="E36" s="88" t="str">
        <x:v>东航和青航</x:v>
      </x:c>
      <x:c r="F36" s="88" t="str">
        <x:v>08:40</x:v>
      </x:c>
      <x:c r="G36" s="88" t="str">
        <x:v>15:00</x:v>
      </x:c>
      <x:c r="H36" s="88" t="str">
        <x:v>上海浦东国际机场</x:v>
      </x:c>
      <x:c r="I36" s="88" t="str">
        <x:v>丽江三义机场</x:v>
      </x:c>
      <x:c r="J36" s="88" t="n">
        <x:v>1</x:v>
      </x:c>
      <x:c r="K36" s="88" t="str">
        <x:v>武汉市的武汉天河国际机场 / 2 小时</x:v>
      </x:c>
      <x:c r="L36" s="88" t="str">
        <x:v>6 小时 20 分钟</x:v>
      </x:c>
      <x:c r="M36" s="89" t="n">
        <x:v>3075</x:v>
      </x:c>
      <x:c r="N36" s="89" t="n">
        <x:v>0</x:v>
      </x:c>
      <x:c r="O36" s="89" t="n">
        <x:f>M36+N36</x:f>
        <x:v>3075</x:v>
      </x:c>
      <x:c r="P36" s="88" t="str">
        <x:f>IF(O36&lt;5000,"是","否")</x:f>
        <x:v>是</x:v>
      </x:c>
      <x:c r="Q36" s="90" t="str">
        <x:v>国内经济舱通常含20kg；出票前须按实际票价等级复核</x:v>
      </x:c>
      <x:c r="R36" s="90" t="str">
        <x:v>该去程对应的最低可订返程组合；具体返程航班需打开来源链接确认</x:v>
      </x:c>
      <x:c r="S36" s="91" t="n">
        <x:v>46267.74647805555</x:v>
      </x:c>
      <x:c r="T36" s="92" t="str">
        <x:v>https://www.google.com/travel/flights?hl=zh-CN&amp;curr=CNY&amp;q=Flights%20from%20Shanghai%20to%20Lijiang%20from%202026-10-03%20to%202026-10-08</x:v>
      </x:c>
      <x:c r="U36" s="136"/>
      <x:c r="V36" s="90"/>
      <x:c r="W36" s="90"/>
      <x:c r="X36" s="137"/>
      <x:c r="Y36" s="90"/>
      <x:c r="Z36" s="90"/>
      <x:c r="AA36" s="90"/>
      <x:c r="AB36" s="90"/>
      <x:c r="AC36" s="90"/>
      <x:c r="AD36" s="138"/>
      <x:c r="AE36" s="90" t="str">
        <x:v>去程当前未找到，返程待核验</x:v>
      </x:c>
      <x:c r="AF36" s="92" t="str">
        <x:v>https://www.google.com/travel/flights?hl=zh-CN&amp;curr=CNY&amp;q=Flights%20from%20Shanghai%20to%20Lijiang%20from%202026-10-03%20to%202026-10-08</x:v>
      </x:c>
    </x:row>
    <x:row r="37" ht="42" customHeight="1">
      <x:c r="A37" s="85" t="n">
        <x:f>ROW()-7</x:f>
        <x:v>30</x:v>
      </x:c>
      <x:c r="B37" s="86" t="n">
        <x:v>46297</x:v>
      </x:c>
      <x:c r="C37" s="86" t="n">
        <x:v>46303</x:v>
      </x:c>
      <x:c r="D37" s="87" t="n">
        <x:v>6</x:v>
      </x:c>
      <x:c r="E37" s="88" t="str">
        <x:v>春航</x:v>
      </x:c>
      <x:c r="F37" s="88" t="str">
        <x:v>13:45</x:v>
      </x:c>
      <x:c r="G37" s="88" t="str">
        <x:v>17:35</x:v>
      </x:c>
      <x:c r="H37" s="88" t="str">
        <x:v>上海浦东国际机场</x:v>
      </x:c>
      <x:c r="I37" s="88" t="str">
        <x:v>丽江三义机场</x:v>
      </x:c>
      <x:c r="J37" s="88" t="n">
        <x:v>0</x:v>
      </x:c>
      <x:c r="K37" s="88" t="str">
        <x:v>—</x:v>
      </x:c>
      <x:c r="L37" s="88" t="str">
        <x:v>3 小时 50 分钟</x:v>
      </x:c>
      <x:c r="M37" s="89" t="n">
        <x:v>2790</x:v>
      </x:c>
      <x:c r="N37" s="89" t="n">
        <x:v>350</x:v>
      </x:c>
      <x:c r="O37" s="89" t="n">
        <x:f>M37+N37</x:f>
        <x:v>3140</x:v>
      </x:c>
      <x:c r="P37" s="88" t="str">
        <x:f>IF(O37&lt;5000,"是","否")</x:f>
        <x:v>是</x:v>
      </x:c>
      <x:c r="Q37" s="90" t="str">
        <x:v>春秋低价票可能不含托运；按国内往返20kg保守预留¥350</x:v>
      </x:c>
      <x:c r="R37" s="90" t="str">
        <x:v>该去程对应的最低可订返程组合；具体返程航班需打开来源链接确认</x:v>
      </x:c>
      <x:c r="S37" s="91" t="n">
        <x:v>46267.74647805555</x:v>
      </x:c>
      <x:c r="T37" s="92" t="str">
        <x:v>https://www.google.com/travel/flights?hl=zh-CN&amp;curr=CNY&amp;q=Flights%20from%20Shanghai%20to%20Lijiang%20from%202026-10-02%20to%202026-10-08</x:v>
      </x:c>
      <x:c r="U37" s="136" t="n">
        <x:v>46303</x:v>
      </x:c>
      <x:c r="V37" s="90" t="str">
        <x:v>21:35</x:v>
      </x:c>
      <x:c r="W37" s="90" t="str">
        <x:v>丽江三义机场</x:v>
      </x:c>
      <x:c r="X37" s="137" t="n">
        <x:v>46304</x:v>
      </x:c>
      <x:c r="Y37" s="90" t="str">
        <x:v>01:10</x:v>
      </x:c>
      <x:c r="Z37" s="90" t="str">
        <x:v>上海浦东国际机场</x:v>
      </x:c>
      <x:c r="AA37" s="90" t="str">
        <x:v>春航</x:v>
      </x:c>
      <x:c r="AB37" s="90" t="n">
        <x:v>0</x:v>
      </x:c>
      <x:c r="AC37" s="90" t="str">
        <x:v>3 小时 35 分钟</x:v>
      </x:c>
      <x:c r="AD37" s="138" t="n">
        <x:v>2790</x:v>
      </x:c>
      <x:c r="AE37" s="90" t="str">
        <x:v>匹配原始往返起价</x:v>
      </x:c>
      <x:c r="AF37" s="92" t="str">
        <x:v>https://www.google.com/travel/flights/search?tfs=CBwQAhpLEgoyMDI2LTEwLTAyIiAKA1BWRxIKMjAyNi0xMC0wMhoDTEpHKgI5QzIENzExNWoMCAISCC9tLzA2d2pmcg0IAhIJL20vMDJmcTRrGikSCjIwMjYtMTAtMDhqDQgCEgkvbS8wMmZxNGtyDAgCEggvbS8wNndqZkABSAFwAYIBCwj___________8BmAEB&amp;tfu=CmxDalJJVGxGb1IzSTNiM1ZaTUVsQlJXeGhaR2RDUnkwdExTMHRMUzB0TFhObGRYVXlNa0ZCUVVGQlIzRlpSR2QzU2tsSGQwZEJFZ1k1UXpjeE1UVWFDZ2ptRlJBQUdnTkRUbGs0SEhDcHhBST0SAggAIgMKATA&amp;hl=zh-CN&amp;curr=CNY</x:v>
      </x:c>
    </x:row>
    <x:row r="38" ht="42" customHeight="1">
      <x:c r="A38" s="85" t="n">
        <x:f>ROW()-7</x:f>
        <x:v>31</x:v>
      </x:c>
      <x:c r="B38" s="86" t="n">
        <x:v>46296</x:v>
      </x:c>
      <x:c r="C38" s="86" t="n">
        <x:v>46303</x:v>
      </x:c>
      <x:c r="D38" s="87" t="n">
        <x:v>7</x:v>
      </x:c>
      <x:c r="E38" s="88" t="str">
        <x:v>东航和吉祥航空</x:v>
      </x:c>
      <x:c r="F38" s="88" t="str">
        <x:v>23:00</x:v>
      </x:c>
      <x:c r="G38" s="88" t="str">
        <x:v>16:45 +1</x:v>
      </x:c>
      <x:c r="H38" s="88" t="str">
        <x:v>上海浦东国际机场</x:v>
      </x:c>
      <x:c r="I38" s="88" t="str">
        <x:v>丽江三义机场</x:v>
      </x:c>
      <x:c r="J38" s="88" t="n">
        <x:v>1</x:v>
      </x:c>
      <x:c r="K38" s="88" t="str">
        <x:v>南京市的南京禄口国际机场 / 13 小时 40 分钟</x:v>
      </x:c>
      <x:c r="L38" s="88" t="str">
        <x:v>17 小时 45 分钟</x:v>
      </x:c>
      <x:c r="M38" s="89" t="n">
        <x:v>3243</x:v>
      </x:c>
      <x:c r="N38" s="89" t="n">
        <x:v>0</x:v>
      </x:c>
      <x:c r="O38" s="89" t="n">
        <x:f>M38+N38</x:f>
        <x:v>3243</x:v>
      </x:c>
      <x:c r="P38" s="88" t="str">
        <x:f>IF(O38&lt;5000,"是","否")</x:f>
        <x:v>是</x:v>
      </x:c>
      <x:c r="Q38" s="90" t="str">
        <x:v>国内经济舱通常含20kg；出票前须按实际票价等级复核</x:v>
      </x:c>
      <x:c r="R38" s="90" t="str">
        <x:v>该去程对应的最低可订返程组合；具体返程航班需打开来源链接确认</x:v>
      </x:c>
      <x:c r="S38" s="91" t="n">
        <x:v>46267.74647805555</x:v>
      </x:c>
      <x:c r="T38" s="92" t="str">
        <x:v>https://www.google.com/travel/flights?hl=zh-CN&amp;curr=CNY&amp;q=Flights%20from%20Shanghai%20to%20Lijiang%20from%202026-10-01%20to%202026-10-08</x:v>
      </x:c>
      <x:c r="U38" s="136"/>
      <x:c r="V38" s="90"/>
      <x:c r="W38" s="90"/>
      <x:c r="X38" s="137"/>
      <x:c r="Y38" s="90"/>
      <x:c r="Z38" s="90"/>
      <x:c r="AA38" s="90"/>
      <x:c r="AB38" s="90"/>
      <x:c r="AC38" s="90"/>
      <x:c r="AD38" s="138"/>
      <x:c r="AE38" s="90" t="str">
        <x:v>去程当前未找到，返程待核验</x:v>
      </x:c>
      <x:c r="AF38" s="92" t="str">
        <x:v>https://www.google.com/travel/flights?hl=zh-CN&amp;curr=CNY&amp;q=Flights%20from%20Shanghai%20to%20Lijiang%20from%202026-10-01%20to%202026-10-08</x:v>
      </x:c>
    </x:row>
    <x:row r="39" ht="42" customHeight="1">
      <x:c r="A39" s="85" t="n">
        <x:f>ROW()-7</x:f>
        <x:v>32</x:v>
      </x:c>
      <x:c r="B39" s="86" t="n">
        <x:v>46297</x:v>
      </x:c>
      <x:c r="C39" s="86" t="n">
        <x:v>46303</x:v>
      </x:c>
      <x:c r="D39" s="87" t="n">
        <x:v>6</x:v>
      </x:c>
      <x:c r="E39" s="88" t="str">
        <x:v>春航</x:v>
      </x:c>
      <x:c r="F39" s="88" t="str">
        <x:v>08:35</x:v>
      </x:c>
      <x:c r="G39" s="88" t="str">
        <x:v>12:20</x:v>
      </x:c>
      <x:c r="H39" s="88" t="str">
        <x:v>上海浦东国际机场</x:v>
      </x:c>
      <x:c r="I39" s="88" t="str">
        <x:v>丽江三义机场</x:v>
      </x:c>
      <x:c r="J39" s="88" t="n">
        <x:v>0</x:v>
      </x:c>
      <x:c r="K39" s="88" t="str">
        <x:v>—</x:v>
      </x:c>
      <x:c r="L39" s="88" t="str">
        <x:v>3 小时 45 分钟</x:v>
      </x:c>
      <x:c r="M39" s="89" t="n">
        <x:v>2940</x:v>
      </x:c>
      <x:c r="N39" s="89" t="n">
        <x:v>350</x:v>
      </x:c>
      <x:c r="O39" s="89" t="n">
        <x:f>M39+N39</x:f>
        <x:v>3290</x:v>
      </x:c>
      <x:c r="P39" s="88" t="str">
        <x:f>IF(O39&lt;5000,"是","否")</x:f>
        <x:v>是</x:v>
      </x:c>
      <x:c r="Q39" s="90" t="str">
        <x:v>春秋低价票可能不含托运；按国内往返20kg保守预留¥350</x:v>
      </x:c>
      <x:c r="R39" s="90" t="str">
        <x:v>该去程对应的最低可订返程组合；具体返程航班需打开来源链接确认</x:v>
      </x:c>
      <x:c r="S39" s="91" t="n">
        <x:v>46267.74647805555</x:v>
      </x:c>
      <x:c r="T39" s="92" t="str">
        <x:v>https://www.google.com/travel/flights?hl=zh-CN&amp;curr=CNY&amp;q=Flights%20from%20Shanghai%20to%20Lijiang%20from%202026-10-02%20to%202026-10-08</x:v>
      </x:c>
      <x:c r="U39" s="136" t="n">
        <x:v>46303</x:v>
      </x:c>
      <x:c r="V39" s="90" t="str">
        <x:v>21:35</x:v>
      </x:c>
      <x:c r="W39" s="90" t="str">
        <x:v>丽江三义机场</x:v>
      </x:c>
      <x:c r="X39" s="137" t="n">
        <x:v>46304</x:v>
      </x:c>
      <x:c r="Y39" s="90" t="str">
        <x:v>01:10</x:v>
      </x:c>
      <x:c r="Z39" s="90" t="str">
        <x:v>上海浦东国际机场</x:v>
      </x:c>
      <x:c r="AA39" s="90" t="str">
        <x:v>春航</x:v>
      </x:c>
      <x:c r="AB39" s="90" t="n">
        <x:v>0</x:v>
      </x:c>
      <x:c r="AC39" s="90" t="str">
        <x:v>3 小时 35 分钟</x:v>
      </x:c>
      <x:c r="AD39" s="138" t="n">
        <x:v>2940</x:v>
      </x:c>
      <x:c r="AE39" s="90" t="str">
        <x:v>匹配原始往返起价</x:v>
      </x:c>
      <x:c r="AF39" s="92" t="str">
        <x:v>https://www.google.com/travel/flights/search?tfs=CBwQAhpLEgoyMDI2LTEwLTAyIiAKA1BWRxIKMjAyNi0xMC0wMhoDTEpHKgI5QzIENjczM2oMCAISCC9tLzA2d2pmcg0IAhIJL20vMDJmcTRrGikSCjIwMjYtMTAtMDhqDQgCEgkvbS8wMmZxNGtyDAgCEggvbS8wNndqZkABSAFwAYIBCwj___________8BmAEB&amp;tfu=CmxDalJJU0dwUmRETldNWGhSUVd0QlJscGtXVkZDUnkwdExTMHRMUzB0TFhOdFltUjFPVUZCUVVGQlIzRlpSR2QzVEZCd2VrOUJFZ1k1UXpZM016TWFDZ2o4RmhBQUdnTkRUbGs0SEhEZzFRST0SAggAIgMKATA&amp;hl=zh-CN&amp;curr=CNY</x:v>
      </x:c>
    </x:row>
    <x:row r="40" ht="42" customHeight="1">
      <x:c r="A40" s="85" t="n">
        <x:f>ROW()-7</x:f>
        <x:v>33</x:v>
      </x:c>
      <x:c r="B40" s="86" t="n">
        <x:v>46298</x:v>
      </x:c>
      <x:c r="C40" s="86" t="n">
        <x:v>46302</x:v>
      </x:c>
      <x:c r="D40" s="87" t="n">
        <x:v>4</x:v>
      </x:c>
      <x:c r="E40" s="88" t="str">
        <x:v>春航</x:v>
      </x:c>
      <x:c r="F40" s="88" t="str">
        <x:v>17:05</x:v>
      </x:c>
      <x:c r="G40" s="88" t="str">
        <x:v>20:50</x:v>
      </x:c>
      <x:c r="H40" s="88" t="str">
        <x:v>上海浦东国际机场</x:v>
      </x:c>
      <x:c r="I40" s="88" t="str">
        <x:v>丽江三义机场</x:v>
      </x:c>
      <x:c r="J40" s="88" t="n">
        <x:v>0</x:v>
      </x:c>
      <x:c r="K40" s="88" t="str">
        <x:v>—</x:v>
      </x:c>
      <x:c r="L40" s="88" t="str">
        <x:v>3 小时 45 分钟</x:v>
      </x:c>
      <x:c r="M40" s="89" t="n">
        <x:v>3020</x:v>
      </x:c>
      <x:c r="N40" s="89" t="n">
        <x:v>350</x:v>
      </x:c>
      <x:c r="O40" s="89" t="n">
        <x:f>M40+N40</x:f>
        <x:v>3370</x:v>
      </x:c>
      <x:c r="P40" s="88" t="str">
        <x:f>IF(O40&lt;5000,"是","否")</x:f>
        <x:v>是</x:v>
      </x:c>
      <x:c r="Q40" s="90" t="str">
        <x:v>春秋低价票可能不含托运；按国内往返20kg保守预留¥350</x:v>
      </x:c>
      <x:c r="R40" s="90" t="str">
        <x:v>该去程对应的最低可订返程组合；具体返程航班需打开来源链接确认</x:v>
      </x:c>
      <x:c r="S40" s="91" t="n">
        <x:v>46267.74647805555</x:v>
      </x:c>
      <x:c r="T40" s="92" t="str">
        <x:v>https://www.google.com/travel/flights?hl=zh-CN&amp;curr=CNY&amp;q=Flights%20from%20Shanghai%20to%20Lijiang%20from%202026-10-03%20to%202026-10-07</x:v>
      </x:c>
      <x:c r="U40" s="136" t="n">
        <x:v>46302</x:v>
      </x:c>
      <x:c r="V40" s="90" t="str">
        <x:v>21:35</x:v>
      </x:c>
      <x:c r="W40" s="90" t="str">
        <x:v>丽江三义机场</x:v>
      </x:c>
      <x:c r="X40" s="137" t="n">
        <x:v>46303</x:v>
      </x:c>
      <x:c r="Y40" s="90" t="str">
        <x:v>01:10</x:v>
      </x:c>
      <x:c r="Z40" s="90" t="str">
        <x:v>上海浦东国际机场</x:v>
      </x:c>
      <x:c r="AA40" s="90" t="str">
        <x:v>春航</x:v>
      </x:c>
      <x:c r="AB40" s="90" t="n">
        <x:v>0</x:v>
      </x:c>
      <x:c r="AC40" s="90" t="str">
        <x:v>3 小时 35 分钟</x:v>
      </x:c>
      <x:c r="AD40" s="138" t="n">
        <x:v>3020</x:v>
      </x:c>
      <x:c r="AE40" s="90" t="str">
        <x:v>匹配原始往返起价</x:v>
      </x:c>
      <x:c r="AF40" s="92" t="str">
        <x:v>https://www.google.com/travel/flights/search?tfs=CBwQAhpLEgoyMDI2LTEwLTAzIiAKA1BWRxIKMjAyNi0xMC0wMxoDTEpHKgI5QzIENjYxN2oMCAISCC9tLzA2d2pmcg0IAhIJL20vMDJmcTRrGikSCjIwMjYtMTAtMDdqDQgCEgkvbS8wMmZxNGtyDAgCEggvbS8wNndqZkABSAFwAYIBCwj___________8BmAEB&amp;tfu=CmxDalJJYjBKcmNXbDVMVVZwVWtGQlJIYzJOM2RDUnkwdExTMHRMUzB0TFhOdGNHUXlNVUZCUVVGQlIzRlpSR2haVFdsNVJGVkJFZ1k1UXpZMk1UY2FDZ2pNRnhBQUdnTkRUbGs0SEhDSDN3ST0SAggAIgMKATA&amp;hl=zh-CN&amp;curr=CNY</x:v>
      </x:c>
    </x:row>
    <x:row r="41" ht="42" customHeight="1">
      <x:c r="A41" s="85" t="n">
        <x:f>ROW()-7</x:f>
        <x:v>34</x:v>
      </x:c>
      <x:c r="B41" s="86" t="n">
        <x:v>46297</x:v>
      </x:c>
      <x:c r="C41" s="86" t="n">
        <x:v>46304</x:v>
      </x:c>
      <x:c r="D41" s="87" t="n">
        <x:v>7</x:v>
      </x:c>
      <x:c r="E41" s="88" t="str">
        <x:v>吉祥航空</x:v>
      </x:c>
      <x:c r="F41" s="88" t="str">
        <x:v>14:55</x:v>
      </x:c>
      <x:c r="G41" s="88" t="str">
        <x:v>18:40</x:v>
      </x:c>
      <x:c r="H41" s="88" t="str">
        <x:v>上海浦东国际机场</x:v>
      </x:c>
      <x:c r="I41" s="88" t="str">
        <x:v>丽江三义机场</x:v>
      </x:c>
      <x:c r="J41" s="88" t="n">
        <x:v>0</x:v>
      </x:c>
      <x:c r="K41" s="88" t="str">
        <x:v>—</x:v>
      </x:c>
      <x:c r="L41" s="88" t="str">
        <x:v>3 小时 45 分钟</x:v>
      </x:c>
      <x:c r="M41" s="89" t="n">
        <x:v>3419</x:v>
      </x:c>
      <x:c r="N41" s="89" t="n">
        <x:v>0</x:v>
      </x:c>
      <x:c r="O41" s="89" t="n">
        <x:f>M41+N41</x:f>
        <x:v>3419</x:v>
      </x:c>
      <x:c r="P41" s="88" t="str">
        <x:f>IF(O41&lt;5000,"是","否")</x:f>
        <x:v>是</x:v>
      </x:c>
      <x:c r="Q41" s="90" t="str">
        <x:v>国内经济舱通常含20kg；出票前须按实际票价等级复核</x:v>
      </x:c>
      <x:c r="R41" s="90" t="str">
        <x:v>该去程对应的最低可订返程组合；具体返程航班需打开来源链接确认</x:v>
      </x:c>
      <x:c r="S41" s="91" t="n">
        <x:v>46267.74647805555</x:v>
      </x:c>
      <x:c r="T41" s="92" t="str">
        <x:v>https://www.google.com/travel/flights?hl=zh-CN&amp;curr=CNY&amp;q=Flights%20from%20Shanghai%20to%20Lijiang%20from%202026-10-02%20to%202026-10-09</x:v>
      </x:c>
      <x:c r="U41" s="136" t="n">
        <x:v>46304</x:v>
      </x:c>
      <x:c r="V41" s="90" t="str">
        <x:v>12:25</x:v>
      </x:c>
      <x:c r="W41" s="90" t="str">
        <x:v>丽江三义机场</x:v>
      </x:c>
      <x:c r="X41" s="137" t="n">
        <x:v>46304</x:v>
      </x:c>
      <x:c r="Y41" s="90" t="str">
        <x:v>15:55</x:v>
      </x:c>
      <x:c r="Z41" s="90" t="str">
        <x:v>上海浦东国际机场</x:v>
      </x:c>
      <x:c r="AA41" s="90" t="str">
        <x:v>吉祥航空</x:v>
      </x:c>
      <x:c r="AB41" s="90" t="n">
        <x:v>0</x:v>
      </x:c>
      <x:c r="AC41" s="90" t="str">
        <x:v>3 小时 30 分钟</x:v>
      </x:c>
      <x:c r="AD41" s="138"/>
      <x:c r="AE41" s="90" t="str">
        <x:v>当前返程列表无价格，采用排序第一条</x:v>
      </x:c>
      <x:c r="AF41" s="92" t="str">
        <x:v>https://www.google.com/travel/flights/search?tfs=CBwQAhpLEgoyMDI2LTEwLTAyIiAKA1BWRxIKMjAyNi0xMC0wMhoDTEpHKgJITzIEMTIyOWoMCAISCC9tLzA2d2pmcg0IAhIJL20vMDJmcTRrGikSCjIwMjYtMTAtMDlqDQgCEgkvbS8wMmZxNGtyDAgCEggvbS8wNndqZkABSAFwAYIBCwj___________8BmAEB&amp;tfu=ClhDalJJYlhCeE56bGlkak5LY1dkQlJEVTNZWGRDUnkwdExTMHRMUzF6YlhWNE9DMXVNa0ZCUVVGQlIzRlpSR2haVDJaR2VsTkJFZ1pJVHpFeU1qazRIQT09EgIIACIA&amp;hl=zh-CN&amp;curr=CNY</x:v>
      </x:c>
    </x:row>
    <x:row r="42" ht="42" customHeight="1">
      <x:c r="A42" s="85" t="n">
        <x:f>ROW()-7</x:f>
        <x:v>35</x:v>
      </x:c>
      <x:c r="B42" s="86" t="n">
        <x:v>46296</x:v>
      </x:c>
      <x:c r="C42" s="86" t="n">
        <x:v>46303</x:v>
      </x:c>
      <x:c r="D42" s="87" t="n">
        <x:v>7</x:v>
      </x:c>
      <x:c r="E42" s="88" t="str">
        <x:v>春航</x:v>
      </x:c>
      <x:c r="F42" s="88" t="str">
        <x:v>17:05</x:v>
      </x:c>
      <x:c r="G42" s="88" t="str">
        <x:v>20:50</x:v>
      </x:c>
      <x:c r="H42" s="88" t="str">
        <x:v>上海浦东国际机场</x:v>
      </x:c>
      <x:c r="I42" s="88" t="str">
        <x:v>丽江三义机场</x:v>
      </x:c>
      <x:c r="J42" s="88" t="n">
        <x:v>0</x:v>
      </x:c>
      <x:c r="K42" s="88" t="str">
        <x:v>—</x:v>
      </x:c>
      <x:c r="L42" s="88" t="str">
        <x:v>3 小时 45 分钟</x:v>
      </x:c>
      <x:c r="M42" s="89" t="n">
        <x:v>3230</x:v>
      </x:c>
      <x:c r="N42" s="89" t="n">
        <x:v>350</x:v>
      </x:c>
      <x:c r="O42" s="89" t="n">
        <x:f>M42+N42</x:f>
        <x:v>3580</x:v>
      </x:c>
      <x:c r="P42" s="88" t="str">
        <x:f>IF(O42&lt;5000,"是","否")</x:f>
        <x:v>是</x:v>
      </x:c>
      <x:c r="Q42" s="90" t="str">
        <x:v>春秋低价票可能不含托运；按国内往返20kg保守预留¥350</x:v>
      </x:c>
      <x:c r="R42" s="90" t="str">
        <x:v>该去程对应的最低可订返程组合；具体返程航班需打开来源链接确认</x:v>
      </x:c>
      <x:c r="S42" s="91" t="n">
        <x:v>46267.74647805555</x:v>
      </x:c>
      <x:c r="T42" s="92" t="str">
        <x:v>https://www.google.com/travel/flights?hl=zh-CN&amp;curr=CNY&amp;q=Flights%20from%20Shanghai%20to%20Lijiang%20from%202026-10-01%20to%202026-10-08</x:v>
      </x:c>
      <x:c r="U42" s="136" t="n">
        <x:v>46303</x:v>
      </x:c>
      <x:c r="V42" s="90" t="str">
        <x:v>21:35</x:v>
      </x:c>
      <x:c r="W42" s="90" t="str">
        <x:v>丽江三义机场</x:v>
      </x:c>
      <x:c r="X42" s="137" t="n">
        <x:v>46304</x:v>
      </x:c>
      <x:c r="Y42" s="90" t="str">
        <x:v>01:10</x:v>
      </x:c>
      <x:c r="Z42" s="90" t="str">
        <x:v>上海浦东国际机场</x:v>
      </x:c>
      <x:c r="AA42" s="90" t="str">
        <x:v>春航</x:v>
      </x:c>
      <x:c r="AB42" s="90" t="n">
        <x:v>0</x:v>
      </x:c>
      <x:c r="AC42" s="90" t="str">
        <x:v>3 小时 35 分钟</x:v>
      </x:c>
      <x:c r="AD42" s="138" t="n">
        <x:v>3230</x:v>
      </x:c>
      <x:c r="AE42" s="90" t="str">
        <x:v>匹配原始往返起价</x:v>
      </x:c>
      <x:c r="AF42" s="92" t="str">
        <x:v>https://www.google.com/travel/flights/search?tfs=CBwQAhpLEgoyMDI2LTEwLTAxIiAKA1BWRxIKMjAyNi0xMC0wMRoDTEpHKgI5QzIENjYxN2oMCAISCC9tLzA2d2pmcg0IAhIJL20vMDJmcTRrGikSCjIwMjYtMTAtMDhqDQgCEgkvbS8wMmZxNGtyDAgCEggvbS8wNndqZkABSAFwAYIBCwj___________8BmAEB&amp;tfu=CmxDalJJZEU5VWJEQndRbVpTWVhkQlIyWm5hR2RDUnkwdExTMHRMUzB0YzJWaVozSXpNMEZCUVVGQlIzRlpSR2hqUVZGbWJXMUJFZ1k1UXpZMk1UY2FDZ2llR1JBQUdnTkRUbGs0SEhDNzl3ST0SAggAIgMKATA&amp;hl=zh-CN&amp;curr=CNY</x:v>
      </x:c>
    </x:row>
    <x:row r="43" ht="42" customHeight="1">
      <x:c r="A43" s="85" t="n">
        <x:f>ROW()-7</x:f>
        <x:v>36</x:v>
      </x:c>
      <x:c r="B43" s="86" t="n">
        <x:v>46298</x:v>
      </x:c>
      <x:c r="C43" s="86" t="n">
        <x:v>46302</x:v>
      </x:c>
      <x:c r="D43" s="87" t="n">
        <x:v>4</x:v>
      </x:c>
      <x:c r="E43" s="88" t="str">
        <x:v>春航</x:v>
      </x:c>
      <x:c r="F43" s="88" t="str">
        <x:v>08:35</x:v>
      </x:c>
      <x:c r="G43" s="88" t="str">
        <x:v>12:20</x:v>
      </x:c>
      <x:c r="H43" s="88" t="str">
        <x:v>上海浦东国际机场</x:v>
      </x:c>
      <x:c r="I43" s="88" t="str">
        <x:v>丽江三义机场</x:v>
      </x:c>
      <x:c r="J43" s="88" t="n">
        <x:v>0</x:v>
      </x:c>
      <x:c r="K43" s="88" t="str">
        <x:v>—</x:v>
      </x:c>
      <x:c r="L43" s="88" t="str">
        <x:v>3 小时 45 分钟</x:v>
      </x:c>
      <x:c r="M43" s="89" t="n">
        <x:v>3240</x:v>
      </x:c>
      <x:c r="N43" s="89" t="n">
        <x:v>350</x:v>
      </x:c>
      <x:c r="O43" s="89" t="n">
        <x:f>M43+N43</x:f>
        <x:v>3590</x:v>
      </x:c>
      <x:c r="P43" s="88" t="str">
        <x:f>IF(O43&lt;5000,"是","否")</x:f>
        <x:v>是</x:v>
      </x:c>
      <x:c r="Q43" s="90" t="str">
        <x:v>春秋低价票可能不含托运；按国内往返20kg保守预留¥350</x:v>
      </x:c>
      <x:c r="R43" s="90" t="str">
        <x:v>该去程对应的最低可订返程组合；具体返程航班需打开来源链接确认</x:v>
      </x:c>
      <x:c r="S43" s="91" t="n">
        <x:v>46267.74647805555</x:v>
      </x:c>
      <x:c r="T43" s="92" t="str">
        <x:v>https://www.google.com/travel/flights?hl=zh-CN&amp;curr=CNY&amp;q=Flights%20from%20Shanghai%20to%20Lijiang%20from%202026-10-03%20to%202026-10-07</x:v>
      </x:c>
      <x:c r="U43" s="136" t="n">
        <x:v>46302</x:v>
      </x:c>
      <x:c r="V43" s="90" t="str">
        <x:v>21:35</x:v>
      </x:c>
      <x:c r="W43" s="90" t="str">
        <x:v>丽江三义机场</x:v>
      </x:c>
      <x:c r="X43" s="137" t="n">
        <x:v>46303</x:v>
      </x:c>
      <x:c r="Y43" s="90" t="str">
        <x:v>01:10</x:v>
      </x:c>
      <x:c r="Z43" s="90" t="str">
        <x:v>上海浦东国际机场</x:v>
      </x:c>
      <x:c r="AA43" s="90" t="str">
        <x:v>春航</x:v>
      </x:c>
      <x:c r="AB43" s="90" t="n">
        <x:v>0</x:v>
      </x:c>
      <x:c r="AC43" s="90" t="str">
        <x:v>3 小时 35 分钟</x:v>
      </x:c>
      <x:c r="AD43" s="138" t="n">
        <x:v>3240</x:v>
      </x:c>
      <x:c r="AE43" s="90" t="str">
        <x:v>匹配原始往返起价</x:v>
      </x:c>
      <x:c r="AF43" s="92" t="str">
        <x:v>https://www.google.com/travel/flights/search?tfs=CBwQAhpLEgoyMDI2LTEwLTAzIiAKA1BWRxIKMjAyNi0xMC0wMxoDTEpHKgI5QzIENjczM2oMCAISCC9tLzA2d2pmcg0IAhIJL20vMDJmcTRrGikSCjIwMjYtMTAtMDdqDQgCEgkvbS8wMmZxNGtyDAgCEggvbS8wNndqZkABSAFwAYIBCwj___________8BmAEB&amp;tfu=CmxDalJJTFdzelFXRXhNM05FT1ZGQlJWVk5NWGRDUnkwdExTMHRMUzB0TFMxelpXRmtOa0ZCUVVGQlIzRlpSR2hqUldVeVRubEJFZ1k1UXpZM016TWFDZ2lvR1JBQUdnTkRUbGs0SEhEUStBST0SAggAIgMKATA&amp;hl=zh-CN&amp;curr=CNY</x:v>
      </x:c>
    </x:row>
    <x:row r="44" ht="42" customHeight="1">
      <x:c r="A44" s="85" t="n">
        <x:f>ROW()-7</x:f>
        <x:v>37</x:v>
      </x:c>
      <x:c r="B44" s="86" t="n">
        <x:v>46298</x:v>
      </x:c>
      <x:c r="C44" s="86" t="n">
        <x:v>46302</x:v>
      </x:c>
      <x:c r="D44" s="87" t="n">
        <x:v>4</x:v>
      </x:c>
      <x:c r="E44" s="88" t="str">
        <x:v>春航</x:v>
      </x:c>
      <x:c r="F44" s="88" t="str">
        <x:v>13:45</x:v>
      </x:c>
      <x:c r="G44" s="88" t="str">
        <x:v>17:35</x:v>
      </x:c>
      <x:c r="H44" s="88" t="str">
        <x:v>上海浦东国际机场</x:v>
      </x:c>
      <x:c r="I44" s="88" t="str">
        <x:v>丽江三义机场</x:v>
      </x:c>
      <x:c r="J44" s="88" t="n">
        <x:v>0</x:v>
      </x:c>
      <x:c r="K44" s="88" t="str">
        <x:v>—</x:v>
      </x:c>
      <x:c r="L44" s="88" t="str">
        <x:v>3 小时 50 分钟</x:v>
      </x:c>
      <x:c r="M44" s="89" t="n">
        <x:v>3240</x:v>
      </x:c>
      <x:c r="N44" s="89" t="n">
        <x:v>350</x:v>
      </x:c>
      <x:c r="O44" s="89" t="n">
        <x:f>M44+N44</x:f>
        <x:v>3590</x:v>
      </x:c>
      <x:c r="P44" s="88" t="str">
        <x:f>IF(O44&lt;5000,"是","否")</x:f>
        <x:v>是</x:v>
      </x:c>
      <x:c r="Q44" s="90" t="str">
        <x:v>春秋低价票可能不含托运；按国内往返20kg保守预留¥350</x:v>
      </x:c>
      <x:c r="R44" s="90" t="str">
        <x:v>该去程对应的最低可订返程组合；具体返程航班需打开来源链接确认</x:v>
      </x:c>
      <x:c r="S44" s="91" t="n">
        <x:v>46267.74647805555</x:v>
      </x:c>
      <x:c r="T44" s="92" t="str">
        <x:v>https://www.google.com/travel/flights?hl=zh-CN&amp;curr=CNY&amp;q=Flights%20from%20Shanghai%20to%20Lijiang%20from%202026-10-03%20to%202026-10-07</x:v>
      </x:c>
      <x:c r="U44" s="136" t="n">
        <x:v>46302</x:v>
      </x:c>
      <x:c r="V44" s="90" t="str">
        <x:v>21:35</x:v>
      </x:c>
      <x:c r="W44" s="90" t="str">
        <x:v>丽江三义机场</x:v>
      </x:c>
      <x:c r="X44" s="137" t="n">
        <x:v>46303</x:v>
      </x:c>
      <x:c r="Y44" s="90" t="str">
        <x:v>01:10</x:v>
      </x:c>
      <x:c r="Z44" s="90" t="str">
        <x:v>上海浦东国际机场</x:v>
      </x:c>
      <x:c r="AA44" s="90" t="str">
        <x:v>春航</x:v>
      </x:c>
      <x:c r="AB44" s="90" t="n">
        <x:v>0</x:v>
      </x:c>
      <x:c r="AC44" s="90" t="str">
        <x:v>3 小时 35 分钟</x:v>
      </x:c>
      <x:c r="AD44" s="138" t="n">
        <x:v>3240</x:v>
      </x:c>
      <x:c r="AE44" s="90" t="str">
        <x:v>匹配原始往返起价</x:v>
      </x:c>
      <x:c r="AF44" s="92" t="str">
        <x:v>https://www.google.com/travel/flights/search?tfs=CBwQAhpLEgoyMDI2LTEwLTAzIiAKA1BWRxIKMjAyNi0xMC0wMxoDTEpHKgI5QzIENzExNWoMCAISCC9tLzA2d2pmcg0IAhIJL20vMDJmcTRrGikSCjIwMjYtMTAtMDdqDQgCEgkvbS8wMmZxNGtyDAgCEggvbS8wNndqZkABSAFwAYIBCwj___________8BmAEB&amp;tfu=CmxDalJJYnpSMU9IcEhkWFk1WVc5QlJqQk1ZMmRDUnkwdExTMHRMUzB0TFhObFlteG9OMEZCUVVGQlIzRlpSR2xGU0VkWFdHOUJFZ1k1UXpjeE1UVWFDZ2lvR1JBQUdnTkRUbGs0SEhEUStBST0SAggAIgMKATA&amp;hl=zh-CN&amp;curr=CNY</x:v>
      </x:c>
    </x:row>
    <x:row r="45" ht="42" customHeight="1">
      <x:c r="A45" s="85" t="n">
        <x:f>ROW()-7</x:f>
        <x:v>38</x:v>
      </x:c>
      <x:c r="B45" s="86" t="n">
        <x:v>46297</x:v>
      </x:c>
      <x:c r="C45" s="86" t="n">
        <x:v>46302</x:v>
      </x:c>
      <x:c r="D45" s="87" t="n">
        <x:v>5</x:v>
      </x:c>
      <x:c r="E45" s="88" t="str">
        <x:v>春航</x:v>
      </x:c>
      <x:c r="F45" s="88" t="str">
        <x:v>17:05</x:v>
      </x:c>
      <x:c r="G45" s="88" t="str">
        <x:v>20:50</x:v>
      </x:c>
      <x:c r="H45" s="88" t="str">
        <x:v>上海浦东国际机场</x:v>
      </x:c>
      <x:c r="I45" s="88" t="str">
        <x:v>丽江三义机场</x:v>
      </x:c>
      <x:c r="J45" s="88" t="n">
        <x:v>0</x:v>
      </x:c>
      <x:c r="K45" s="88" t="str">
        <x:v>—</x:v>
      </x:c>
      <x:c r="L45" s="88" t="str">
        <x:v>3 小时 45 分钟</x:v>
      </x:c>
      <x:c r="M45" s="89" t="n">
        <x:v>3530</x:v>
      </x:c>
      <x:c r="N45" s="89" t="n">
        <x:v>350</x:v>
      </x:c>
      <x:c r="O45" s="89" t="n">
        <x:f>M45+N45</x:f>
        <x:v>3880</x:v>
      </x:c>
      <x:c r="P45" s="88" t="str">
        <x:f>IF(O45&lt;5000,"是","否")</x:f>
        <x:v>是</x:v>
      </x:c>
      <x:c r="Q45" s="90" t="str">
        <x:v>春秋低价票可能不含托运；按国内往返20kg保守预留¥350</x:v>
      </x:c>
      <x:c r="R45" s="90" t="str">
        <x:v>该去程对应的最低可订返程组合；具体返程航班需打开来源链接确认</x:v>
      </x:c>
      <x:c r="S45" s="91" t="n">
        <x:v>46267.74647805555</x:v>
      </x:c>
      <x:c r="T45" s="92" t="str">
        <x:v>https://www.google.com/travel/flights?hl=zh-CN&amp;curr=CNY&amp;q=Flights%20from%20Shanghai%20to%20Lijiang%20from%202026-10-02%20to%202026-10-07</x:v>
      </x:c>
      <x:c r="U45" s="136" t="n">
        <x:v>46302</x:v>
      </x:c>
      <x:c r="V45" s="90" t="str">
        <x:v>21:35</x:v>
      </x:c>
      <x:c r="W45" s="90" t="str">
        <x:v>丽江三义机场</x:v>
      </x:c>
      <x:c r="X45" s="137" t="n">
        <x:v>46303</x:v>
      </x:c>
      <x:c r="Y45" s="90" t="str">
        <x:v>01:10</x:v>
      </x:c>
      <x:c r="Z45" s="90" t="str">
        <x:v>上海浦东国际机场</x:v>
      </x:c>
      <x:c r="AA45" s="90" t="str">
        <x:v>春航</x:v>
      </x:c>
      <x:c r="AB45" s="90" t="n">
        <x:v>0</x:v>
      </x:c>
      <x:c r="AC45" s="90" t="str">
        <x:v>3 小时 35 分钟</x:v>
      </x:c>
      <x:c r="AD45" s="138" t="n">
        <x:v>3530</x:v>
      </x:c>
      <x:c r="AE45" s="90" t="str">
        <x:v>匹配原始往返起价</x:v>
      </x:c>
      <x:c r="AF45" s="92" t="str">
        <x:v>https://www.google.com/travel/flights/search?tfs=CBwQAhpLEgoyMDI2LTEwLTAyIiAKA1BWRxIKMjAyNi0xMC0wMhoDTEpHKgI5QzIENjYxN2oMCAISCC9tLzA2d2pmcg0IAhIJL20vMDJmcTRrGikSCjIwMjYtMTAtMDdqDQgCEgkvbS8wMmZxNGtyDAgCEggvbS8wNndqZkABSAFwAYIBCwj___________8BmAEB&amp;tfu=CmxDalJJTFhrM016ZFNRVGg0ZUZGQlJYSlJaMUZDUnkwdExTMHRMUzF6WldKdU15MXVNa0ZCUVVGQlIzRlpSR2xGUzIxRWIxVkJFZ1k1UXpZMk1UY2FDZ2pLR3hBQUdnTkRUbGs0SEhDcm1nTT0SAggAIgMKATA&amp;hl=zh-CN&amp;curr=CNY</x:v>
      </x:c>
    </x:row>
    <x:row r="46" ht="42" customHeight="1">
      <x:c r="A46" s="85" t="n">
        <x:f>ROW()-7</x:f>
        <x:v>39</x:v>
      </x:c>
      <x:c r="B46" s="86" t="n">
        <x:v>46297</x:v>
      </x:c>
      <x:c r="C46" s="86" t="n">
        <x:v>46302</x:v>
      </x:c>
      <x:c r="D46" s="87" t="n">
        <x:v>5</x:v>
      </x:c>
      <x:c r="E46" s="88" t="str">
        <x:v>东航和吉祥航空</x:v>
      </x:c>
      <x:c r="F46" s="88" t="str">
        <x:v>22:30</x:v>
      </x:c>
      <x:c r="G46" s="88" t="str">
        <x:v>11:15 +1</x:v>
      </x:c>
      <x:c r="H46" s="88" t="str">
        <x:v>上海浦东国际机场</x:v>
      </x:c>
      <x:c r="I46" s="88" t="str">
        <x:v>丽江三义机场</x:v>
      </x:c>
      <x:c r="J46" s="88" t="n">
        <x:v>1</x:v>
      </x:c>
      <x:c r="K46" s="88" t="str">
        <x:v>南京市的南京禄口国际机场 / 8 小时 25 分钟</x:v>
      </x:c>
      <x:c r="L46" s="88" t="str">
        <x:v>12 小时 45 分钟</x:v>
      </x:c>
      <x:c r="M46" s="89" t="n">
        <x:v>3914</x:v>
      </x:c>
      <x:c r="N46" s="89" t="n">
        <x:v>0</x:v>
      </x:c>
      <x:c r="O46" s="89" t="n">
        <x:f>M46+N46</x:f>
        <x:v>3914</x:v>
      </x:c>
      <x:c r="P46" s="88" t="str">
        <x:f>IF(O46&lt;5000,"是","否")</x:f>
        <x:v>是</x:v>
      </x:c>
      <x:c r="Q46" s="90" t="str">
        <x:v>国内经济舱通常含20kg；出票前须按实际票价等级复核</x:v>
      </x:c>
      <x:c r="R46" s="90" t="str">
        <x:v>该去程对应的最低可订返程组合；具体返程航班需打开来源链接确认</x:v>
      </x:c>
      <x:c r="S46" s="91" t="n">
        <x:v>46267.74647805555</x:v>
      </x:c>
      <x:c r="T46" s="92" t="str">
        <x:v>https://www.google.com/travel/flights?hl=zh-CN&amp;curr=CNY&amp;q=Flights%20from%20Shanghai%20to%20Lijiang%20from%202026-10-02%20to%202026-10-07</x:v>
      </x:c>
      <x:c r="U46" s="136"/>
      <x:c r="V46" s="90"/>
      <x:c r="W46" s="90"/>
      <x:c r="X46" s="137"/>
      <x:c r="Y46" s="90"/>
      <x:c r="Z46" s="90"/>
      <x:c r="AA46" s="90"/>
      <x:c r="AB46" s="90"/>
      <x:c r="AC46" s="90"/>
      <x:c r="AD46" s="138"/>
      <x:c r="AE46" s="90" t="str">
        <x:v>去程当前未找到，返程待核验</x:v>
      </x:c>
      <x:c r="AF46" s="92" t="str">
        <x:v>https://www.google.com/travel/flights?hl=zh-CN&amp;curr=CNY&amp;q=Flights%20from%20Shanghai%20to%20Lijiang%20from%202026-10-02%20to%202026-10-07</x:v>
      </x:c>
    </x:row>
    <x:row r="47" ht="42" customHeight="1">
      <x:c r="A47" s="85" t="n">
        <x:f>ROW()-7</x:f>
        <x:v>40</x:v>
      </x:c>
      <x:c r="B47" s="86" t="n">
        <x:v>46297</x:v>
      </x:c>
      <x:c r="C47" s="86" t="n">
        <x:v>46302</x:v>
      </x:c>
      <x:c r="D47" s="87" t="n">
        <x:v>5</x:v>
      </x:c>
      <x:c r="E47" s="88" t="str">
        <x:v>海航和青航</x:v>
      </x:c>
      <x:c r="F47" s="88" t="str">
        <x:v>23:00</x:v>
      </x:c>
      <x:c r="G47" s="88" t="str">
        <x:v>09:55 +1</x:v>
      </x:c>
      <x:c r="H47" s="88" t="str">
        <x:v>上海浦东国际机场</x:v>
      </x:c>
      <x:c r="I47" s="88" t="str">
        <x:v>丽江三义机场</x:v>
      </x:c>
      <x:c r="J47" s="88" t="n">
        <x:v>1</x:v>
      </x:c>
      <x:c r="K47" s="88" t="str">
        <x:v>长沙市的长沙黄花国际机场 / 6 小时 35 分钟</x:v>
      </x:c>
      <x:c r="L47" s="88" t="str">
        <x:v>10 小时 55 分钟</x:v>
      </x:c>
      <x:c r="M47" s="89" t="n">
        <x:v>3980</x:v>
      </x:c>
      <x:c r="N47" s="89" t="n">
        <x:v>0</x:v>
      </x:c>
      <x:c r="O47" s="89" t="n">
        <x:f>M47+N47</x:f>
        <x:v>3980</x:v>
      </x:c>
      <x:c r="P47" s="88" t="str">
        <x:f>IF(O47&lt;5000,"是","否")</x:f>
        <x:v>是</x:v>
      </x:c>
      <x:c r="Q47" s="90" t="str">
        <x:v>国内经济舱通常含20kg；出票前须按实际票价等级复核</x:v>
      </x:c>
      <x:c r="R47" s="90" t="str">
        <x:v>该去程对应的最低可订返程组合；具体返程航班需打开来源链接确认</x:v>
      </x:c>
      <x:c r="S47" s="91" t="n">
        <x:v>46267.74647805555</x:v>
      </x:c>
      <x:c r="T47" s="92" t="str">
        <x:v>https://www.google.com/travel/flights?hl=zh-CN&amp;curr=CNY&amp;q=Flights%20from%20Shanghai%20to%20Lijiang%20from%202026-10-02%20to%202026-10-07</x:v>
      </x:c>
      <x:c r="U47" s="136"/>
      <x:c r="V47" s="90"/>
      <x:c r="W47" s="90"/>
      <x:c r="X47" s="137"/>
      <x:c r="Y47" s="90"/>
      <x:c r="Z47" s="90"/>
      <x:c r="AA47" s="90"/>
      <x:c r="AB47" s="90"/>
      <x:c r="AC47" s="90"/>
      <x:c r="AD47" s="138"/>
      <x:c r="AE47" s="90" t="str">
        <x:v>去程当前未找到，返程待核验</x:v>
      </x:c>
      <x:c r="AF47" s="92" t="str">
        <x:v>https://www.google.com/travel/flights?hl=zh-CN&amp;curr=CNY&amp;q=Flights%20from%20Shanghai%20to%20Lijiang%20from%202026-10-02%20to%202026-10-07</x:v>
      </x:c>
    </x:row>
    <x:row r="48" ht="42" customHeight="1">
      <x:c r="A48" s="85" t="n">
        <x:f>ROW()-7</x:f>
        <x:v>41</x:v>
      </x:c>
      <x:c r="B48" s="86" t="n">
        <x:v>46296</x:v>
      </x:c>
      <x:c r="C48" s="86" t="n">
        <x:v>46303</x:v>
      </x:c>
      <x:c r="D48" s="87" t="n">
        <x:v>7</x:v>
      </x:c>
      <x:c r="E48" s="88" t="str">
        <x:v>春航</x:v>
      </x:c>
      <x:c r="F48" s="88" t="str">
        <x:v>13:45</x:v>
      </x:c>
      <x:c r="G48" s="88" t="str">
        <x:v>17:35</x:v>
      </x:c>
      <x:c r="H48" s="88" t="str">
        <x:v>上海浦东国际机场</x:v>
      </x:c>
      <x:c r="I48" s="88" t="str">
        <x:v>丽江三义机场</x:v>
      </x:c>
      <x:c r="J48" s="88" t="n">
        <x:v>0</x:v>
      </x:c>
      <x:c r="K48" s="88" t="str">
        <x:v>—</x:v>
      </x:c>
      <x:c r="L48" s="88" t="str">
        <x:v>3 小时 50 分钟</x:v>
      </x:c>
      <x:c r="M48" s="89" t="n">
        <x:v>3670</x:v>
      </x:c>
      <x:c r="N48" s="89" t="n">
        <x:v>350</x:v>
      </x:c>
      <x:c r="O48" s="89" t="n">
        <x:f>M48+N48</x:f>
        <x:v>4020</x:v>
      </x:c>
      <x:c r="P48" s="88" t="str">
        <x:f>IF(O48&lt;5000,"是","否")</x:f>
        <x:v>是</x:v>
      </x:c>
      <x:c r="Q48" s="90" t="str">
        <x:v>春秋低价票可能不含托运；按国内往返20kg保守预留¥350</x:v>
      </x:c>
      <x:c r="R48" s="90" t="str">
        <x:v>该去程对应的最低可订返程组合；具体返程航班需打开来源链接确认</x:v>
      </x:c>
      <x:c r="S48" s="91" t="n">
        <x:v>46267.74647805555</x:v>
      </x:c>
      <x:c r="T48" s="92" t="str">
        <x:v>https://www.google.com/travel/flights?hl=zh-CN&amp;curr=CNY&amp;q=Flights%20from%20Shanghai%20to%20Lijiang%20from%202026-10-01%20to%202026-10-08</x:v>
      </x:c>
      <x:c r="U48" s="136" t="n">
        <x:v>46303</x:v>
      </x:c>
      <x:c r="V48" s="90" t="str">
        <x:v>21:35</x:v>
      </x:c>
      <x:c r="W48" s="90" t="str">
        <x:v>丽江三义机场</x:v>
      </x:c>
      <x:c r="X48" s="137" t="n">
        <x:v>46304</x:v>
      </x:c>
      <x:c r="Y48" s="90" t="str">
        <x:v>01:10</x:v>
      </x:c>
      <x:c r="Z48" s="90" t="str">
        <x:v>上海浦东国际机场</x:v>
      </x:c>
      <x:c r="AA48" s="90" t="str">
        <x:v>春航</x:v>
      </x:c>
      <x:c r="AB48" s="90" t="n">
        <x:v>0</x:v>
      </x:c>
      <x:c r="AC48" s="90" t="str">
        <x:v>3 小时 35 分钟</x:v>
      </x:c>
      <x:c r="AD48" s="138" t="n">
        <x:v>3670</x:v>
      </x:c>
      <x:c r="AE48" s="90" t="str">
        <x:v>匹配原始往返起价</x:v>
      </x:c>
      <x:c r="AF48" s="92" t="str">
        <x:v>https://www.google.com/travel/flights/search?tfs=CBwQAhpLEgoyMDI2LTEwLTAxIiAKA1BWRxIKMjAyNi0xMC0wMRoDTEpHKgI5QzIENzExNWoMCAISCC9tLzA2d2pmcg0IAhIJL20vMDJmcTRrGikSCjIwMjYtMTAtMDhqDQgCEgkvbS8wMmZxNGtyDAgCEggvbS8wNndqZkABSAFwAYIBCwj___________8BmAEB&amp;tfu=CmxDalJJVTFCd2FUaFNTbWhxVTBsQlJXRkNZa0ZDUnkwdExTMHRMUzB0YzIxck1TMXVNVUZCUVVGQlIzRlpSSFZaUkdSR05YZEJFZ1k1UXpjeE1UVWFDZ2pXSEJBQUdnTkRUbGs0SFhET3FnTT0SAggAIgMKATA&amp;hl=zh-CN&amp;curr=CNY</x:v>
      </x:c>
    </x:row>
    <x:row r="49" ht="42" customHeight="1">
      <x:c r="A49" s="85" t="n">
        <x:f>ROW()-7</x:f>
        <x:v>42</x:v>
      </x:c>
      <x:c r="B49" s="86" t="n">
        <x:v>46296</x:v>
      </x:c>
      <x:c r="C49" s="86" t="n">
        <x:v>46300</x:v>
      </x:c>
      <x:c r="D49" s="87" t="n">
        <x:v>4</x:v>
      </x:c>
      <x:c r="E49" s="88" t="str">
        <x:v>春航</x:v>
      </x:c>
      <x:c r="F49" s="88" t="str">
        <x:v>17:05</x:v>
      </x:c>
      <x:c r="G49" s="88" t="str">
        <x:v>20:50</x:v>
      </x:c>
      <x:c r="H49" s="88" t="str">
        <x:v>上海浦东国际机场</x:v>
      </x:c>
      <x:c r="I49" s="88" t="str">
        <x:v>丽江三义机场</x:v>
      </x:c>
      <x:c r="J49" s="88" t="n">
        <x:v>0</x:v>
      </x:c>
      <x:c r="K49" s="88" t="str">
        <x:v>—</x:v>
      </x:c>
      <x:c r="L49" s="88" t="str">
        <x:v>3 小时 45 分钟</x:v>
      </x:c>
      <x:c r="M49" s="89" t="n">
        <x:v>3680</x:v>
      </x:c>
      <x:c r="N49" s="89" t="n">
        <x:v>350</x:v>
      </x:c>
      <x:c r="O49" s="89" t="n">
        <x:f>M49+N49</x:f>
        <x:v>4030</x:v>
      </x:c>
      <x:c r="P49" s="88" t="str">
        <x:f>IF(O49&lt;5000,"是","否")</x:f>
        <x:v>是</x:v>
      </x:c>
      <x:c r="Q49" s="90" t="str">
        <x:v>春秋低价票可能不含托运；按国内往返20kg保守预留¥350</x:v>
      </x:c>
      <x:c r="R49" s="90" t="str">
        <x:v>该去程对应的最低可订返程组合；具体返程航班需打开来源链接确认</x:v>
      </x:c>
      <x:c r="S49" s="91" t="n">
        <x:v>46267.74647805555</x:v>
      </x:c>
      <x:c r="T49" s="92" t="str">
        <x:v>https://www.google.com/travel/flights?hl=zh-CN&amp;curr=CNY&amp;q=Flights%20from%20Shanghai%20to%20Lijiang%20from%202026-10-01%20to%202026-10-05</x:v>
      </x:c>
      <x:c r="U49" s="136" t="n">
        <x:v>46300</x:v>
      </x:c>
      <x:c r="V49" s="90" t="str">
        <x:v>21:35</x:v>
      </x:c>
      <x:c r="W49" s="90" t="str">
        <x:v>丽江三义机场</x:v>
      </x:c>
      <x:c r="X49" s="137" t="n">
        <x:v>46301</x:v>
      </x:c>
      <x:c r="Y49" s="90" t="str">
        <x:v>01:10</x:v>
      </x:c>
      <x:c r="Z49" s="90" t="str">
        <x:v>上海浦东国际机场</x:v>
      </x:c>
      <x:c r="AA49" s="90" t="str">
        <x:v>春航</x:v>
      </x:c>
      <x:c r="AB49" s="90" t="n">
        <x:v>0</x:v>
      </x:c>
      <x:c r="AC49" s="90" t="str">
        <x:v>3 小时 35 分钟</x:v>
      </x:c>
      <x:c r="AD49" s="138" t="n">
        <x:v>3830</x:v>
      </x:c>
      <x:c r="AE49" s="90" t="str">
        <x:v>当前价格已变化，采用当前最低价返程</x:v>
      </x:c>
      <x:c r="AF49" s="92" t="str">
        <x:v>https://www.google.com/travel/flights/search?tfs=CBwQAhpLEgoyMDI2LTEwLTAxIiAKA1BWRxIKMjAyNi0xMC0wMRoDTEpHKgI5QzIENjYxN2oMCAISCC9tLzA2d2pmcg0IAhIJL20vMDJmcTRrGikSCjIwMjYtMTAtMDVqDQgCEgkvbS8wMmZxNGtyDAgCEggvbS8wNndqZkABSAFwAYIBCwj___________8BmAEB&amp;tfu=CmxDalJJYjBOd1MydElWbTlpTW1OQlJIbFNTR2RDUnkwdExTMHRMWE50WTNkck55MXVNa0ZCUVVGQlIzRlpSR2x6VFVsNlZsRkJFZ1k1UXpZMk1UY2FDZ2oySFJBQUdnTkRUbGs0SEhDYnZRTT0SAggAIgMKATA&amp;hl=zh-CN&amp;curr=CNY</x:v>
      </x:c>
    </x:row>
    <x:row r="50" ht="42" customHeight="1">
      <x:c r="A50" s="85" t="n">
        <x:f>ROW()-7</x:f>
        <x:v>43</x:v>
      </x:c>
      <x:c r="B50" s="86" t="n">
        <x:v>46297</x:v>
      </x:c>
      <x:c r="C50" s="86" t="n">
        <x:v>46302</x:v>
      </x:c>
      <x:c r="D50" s="87" t="n">
        <x:v>5</x:v>
      </x:c>
      <x:c r="E50" s="88" t="str">
        <x:v>春航</x:v>
      </x:c>
      <x:c r="F50" s="88" t="str">
        <x:v>13:45</x:v>
      </x:c>
      <x:c r="G50" s="88" t="str">
        <x:v>17:35</x:v>
      </x:c>
      <x:c r="H50" s="88" t="str">
        <x:v>上海浦东国际机场</x:v>
      </x:c>
      <x:c r="I50" s="88" t="str">
        <x:v>丽江三义机场</x:v>
      </x:c>
      <x:c r="J50" s="88" t="n">
        <x:v>0</x:v>
      </x:c>
      <x:c r="K50" s="88" t="str">
        <x:v>—</x:v>
      </x:c>
      <x:c r="L50" s="88" t="str">
        <x:v>3 小时 50 分钟</x:v>
      </x:c>
      <x:c r="M50" s="89" t="n">
        <x:v>3680</x:v>
      </x:c>
      <x:c r="N50" s="89" t="n">
        <x:v>350</x:v>
      </x:c>
      <x:c r="O50" s="89" t="n">
        <x:f>M50+N50</x:f>
        <x:v>4030</x:v>
      </x:c>
      <x:c r="P50" s="88" t="str">
        <x:f>IF(O50&lt;5000,"是","否")</x:f>
        <x:v>是</x:v>
      </x:c>
      <x:c r="Q50" s="90" t="str">
        <x:v>春秋低价票可能不含托运；按国内往返20kg保守预留¥350</x:v>
      </x:c>
      <x:c r="R50" s="90" t="str">
        <x:v>该去程对应的最低可订返程组合；具体返程航班需打开来源链接确认</x:v>
      </x:c>
      <x:c r="S50" s="91" t="n">
        <x:v>46267.74647805555</x:v>
      </x:c>
      <x:c r="T50" s="92" t="str">
        <x:v>https://www.google.com/travel/flights?hl=zh-CN&amp;curr=CNY&amp;q=Flights%20from%20Shanghai%20to%20Lijiang%20from%202026-10-02%20to%202026-10-07</x:v>
      </x:c>
      <x:c r="U50" s="136" t="n">
        <x:v>46302</x:v>
      </x:c>
      <x:c r="V50" s="90" t="str">
        <x:v>21:35</x:v>
      </x:c>
      <x:c r="W50" s="90" t="str">
        <x:v>丽江三义机场</x:v>
      </x:c>
      <x:c r="X50" s="137" t="n">
        <x:v>46303</x:v>
      </x:c>
      <x:c r="Y50" s="90" t="str">
        <x:v>01:10</x:v>
      </x:c>
      <x:c r="Z50" s="90" t="str">
        <x:v>上海浦东国际机场</x:v>
      </x:c>
      <x:c r="AA50" s="90" t="str">
        <x:v>春航</x:v>
      </x:c>
      <x:c r="AB50" s="90" t="n">
        <x:v>0</x:v>
      </x:c>
      <x:c r="AC50" s="90" t="str">
        <x:v>3 小时 35 分钟</x:v>
      </x:c>
      <x:c r="AD50" s="138" t="n">
        <x:v>3680</x:v>
      </x:c>
      <x:c r="AE50" s="90" t="str">
        <x:v>匹配原始往返起价</x:v>
      </x:c>
      <x:c r="AF50" s="92" t="str">
        <x:v>https://www.google.com/travel/flights/search?tfs=CBwQAhpLEgoyMDI2LTEwLTAyIiAKA1BWRxIKMjAyNi0xMC0wMhoDTEpHKgI5QzIENzExNWoMCAISCC9tLzA2d2pmcg0IAhIJL20vMDJmcTRrGikSCjIwMjYtMTAtMDdqDQgCEgkvbS8wMmZxNGtyDAgCEggvbS8wNndqZkABSAFwAYIBCwj___________8BmAEB&amp;tfu=CmxDalJJTFhrM016ZFNRVGg0ZUZGQlJYSlZhbEZDUnkwdExTMHRMUzF6WldKdU15MXVNa0ZCUVVGQlIzRlpSR2x6VDBZMFNqSkJFZ1k1UXpjeE1UVWFDZ2pnSEJBQUdnTkRUbGs0SEhEanF3TT0SAggAIgMKATA&amp;hl=zh-CN&amp;curr=CNY</x:v>
      </x:c>
    </x:row>
    <x:row r="51" ht="42" customHeight="1">
      <x:c r="A51" s="85" t="n">
        <x:f>ROW()-7</x:f>
        <x:v>44</x:v>
      </x:c>
      <x:c r="B51" s="86" t="n">
        <x:v>46297</x:v>
      </x:c>
      <x:c r="C51" s="86" t="n">
        <x:v>46301</x:v>
      </x:c>
      <x:c r="D51" s="87" t="n">
        <x:v>4</x:v>
      </x:c>
      <x:c r="E51" s="88" t="str">
        <x:v>春航</x:v>
      </x:c>
      <x:c r="F51" s="88" t="str">
        <x:v>17:05</x:v>
      </x:c>
      <x:c r="G51" s="88" t="str">
        <x:v>20:50</x:v>
      </x:c>
      <x:c r="H51" s="88" t="str">
        <x:v>上海浦东国际机场</x:v>
      </x:c>
      <x:c r="I51" s="88" t="str">
        <x:v>丽江三义机场</x:v>
      </x:c>
      <x:c r="J51" s="88" t="n">
        <x:v>0</x:v>
      </x:c>
      <x:c r="K51" s="88" t="str">
        <x:v>—</x:v>
      </x:c>
      <x:c r="L51" s="88" t="str">
        <x:v>3 小时 45 分钟</x:v>
      </x:c>
      <x:c r="M51" s="89" t="n">
        <x:v>3680</x:v>
      </x:c>
      <x:c r="N51" s="89" t="n">
        <x:v>350</x:v>
      </x:c>
      <x:c r="O51" s="89" t="n">
        <x:f>M51+N51</x:f>
        <x:v>4030</x:v>
      </x:c>
      <x:c r="P51" s="88" t="str">
        <x:f>IF(O51&lt;5000,"是","否")</x:f>
        <x:v>是</x:v>
      </x:c>
      <x:c r="Q51" s="90" t="str">
        <x:v>春秋低价票可能不含托运；按国内往返20kg保守预留¥350</x:v>
      </x:c>
      <x:c r="R51" s="90" t="str">
        <x:v>该去程对应的最低可订返程组合；具体返程航班需打开来源链接确认</x:v>
      </x:c>
      <x:c r="S51" s="91" t="n">
        <x:v>46267.74647805555</x:v>
      </x:c>
      <x:c r="T51" s="92" t="str">
        <x:v>https://www.google.com/travel/flights?hl=zh-CN&amp;curr=CNY&amp;q=Flights%20from%20Shanghai%20to%20Lijiang%20from%202026-10-02%20to%202026-10-06</x:v>
      </x:c>
      <x:c r="U51" s="136" t="n">
        <x:v>46301</x:v>
      </x:c>
      <x:c r="V51" s="90" t="str">
        <x:v>21:35</x:v>
      </x:c>
      <x:c r="W51" s="90" t="str">
        <x:v>丽江三义机场</x:v>
      </x:c>
      <x:c r="X51" s="137" t="n">
        <x:v>46302</x:v>
      </x:c>
      <x:c r="Y51" s="90" t="str">
        <x:v>01:10</x:v>
      </x:c>
      <x:c r="Z51" s="90" t="str">
        <x:v>上海浦东国际机场</x:v>
      </x:c>
      <x:c r="AA51" s="90" t="str">
        <x:v>春航</x:v>
      </x:c>
      <x:c r="AB51" s="90" t="n">
        <x:v>0</x:v>
      </x:c>
      <x:c r="AC51" s="90" t="str">
        <x:v>3 小时 35 分钟</x:v>
      </x:c>
      <x:c r="AD51" s="138" t="n">
        <x:v>3680</x:v>
      </x:c>
      <x:c r="AE51" s="90" t="str">
        <x:v>匹配原始往返起价</x:v>
      </x:c>
      <x:c r="AF51" s="92" t="str">
        <x:v>https://www.google.com/travel/flights/search?tfs=CBwQAhpLEgoyMDI2LTEwLTAyIiAKA1BWRxIKMjAyNi0xMC0wMhoDTEpHKgI5QzIENjYxN2oMCAISCC9tLzA2d2pmcg0IAhIJL20vMDJmcTRrGikSCjIwMjYtMTAtMDZqDQgCEgkvbS8wMmZxNGtyDAgCEggvbS8wNndqZkABSAFwAYIBCwj___________8BmAEB&amp;tfu=CmxDalJJYnpSMU9IcEhkWFk1WVc5QlJqQlFkR2RDUnkwdExTMHRMUzB0TFhObFlteG9OMEZCUVVGQlIzRlpSR2x6VFVGYU5uVkJFZ1k1UXpZMk1UY2FDZ2pnSEJBQUdnTkRUbGs0SEhEanF3TT0SAggAIgMKATA&amp;hl=zh-CN&amp;curr=CNY</x:v>
      </x:c>
    </x:row>
    <x:row r="52" ht="42" customHeight="1">
      <x:c r="A52" s="85" t="n">
        <x:f>ROW()-7</x:f>
        <x:v>45</x:v>
      </x:c>
      <x:c r="B52" s="86" t="n">
        <x:v>46296</x:v>
      </x:c>
      <x:c r="C52" s="86" t="n">
        <x:v>46303</x:v>
      </x:c>
      <x:c r="D52" s="87" t="n">
        <x:v>7</x:v>
      </x:c>
      <x:c r="E52" s="88" t="str">
        <x:v>吉祥航空</x:v>
      </x:c>
      <x:c r="F52" s="88" t="str">
        <x:v>14:55</x:v>
      </x:c>
      <x:c r="G52" s="88" t="str">
        <x:v>18:40</x:v>
      </x:c>
      <x:c r="H52" s="88" t="str">
        <x:v>上海浦东国际机场</x:v>
      </x:c>
      <x:c r="I52" s="88" t="str">
        <x:v>丽江三义机场</x:v>
      </x:c>
      <x:c r="J52" s="88" t="n">
        <x:v>0</x:v>
      </x:c>
      <x:c r="K52" s="88" t="str">
        <x:v>—</x:v>
      </x:c>
      <x:c r="L52" s="88" t="str">
        <x:v>3 小时 45 分钟</x:v>
      </x:c>
      <x:c r="M52" s="89" t="n">
        <x:v>4093</x:v>
      </x:c>
      <x:c r="N52" s="89" t="n">
        <x:v>0</x:v>
      </x:c>
      <x:c r="O52" s="89" t="n">
        <x:f>M52+N52</x:f>
        <x:v>4093</x:v>
      </x:c>
      <x:c r="P52" s="88" t="str">
        <x:f>IF(O52&lt;5000,"是","否")</x:f>
        <x:v>是</x:v>
      </x:c>
      <x:c r="Q52" s="90" t="str">
        <x:v>国内经济舱通常含20kg；出票前须按实际票价等级复核</x:v>
      </x:c>
      <x:c r="R52" s="90" t="str">
        <x:v>该去程对应的最低可订返程组合；具体返程航班需打开来源链接确认</x:v>
      </x:c>
      <x:c r="S52" s="91" t="n">
        <x:v>46267.74647805555</x:v>
      </x:c>
      <x:c r="T52" s="92" t="str">
        <x:v>https://www.google.com/travel/flights?hl=zh-CN&amp;curr=CNY&amp;q=Flights%20from%20Shanghai%20to%20Lijiang%20from%202026-10-01%20to%202026-10-08</x:v>
      </x:c>
      <x:c r="U52" s="136" t="n">
        <x:v>46303</x:v>
      </x:c>
      <x:c r="V52" s="90" t="str">
        <x:v>12:25</x:v>
      </x:c>
      <x:c r="W52" s="90" t="str">
        <x:v>丽江三义机场</x:v>
      </x:c>
      <x:c r="X52" s="137" t="n">
        <x:v>46303</x:v>
      </x:c>
      <x:c r="Y52" s="90" t="str">
        <x:v>15:45</x:v>
      </x:c>
      <x:c r="Z52" s="90" t="str">
        <x:v>上海浦东国际机场</x:v>
      </x:c>
      <x:c r="AA52" s="90" t="str">
        <x:v>吉祥航空</x:v>
      </x:c>
      <x:c r="AB52" s="90" t="n">
        <x:v>0</x:v>
      </x:c>
      <x:c r="AC52" s="90" t="str">
        <x:v>3 小时 20 分钟</x:v>
      </x:c>
      <x:c r="AD52" s="138"/>
      <x:c r="AE52" s="90" t="str">
        <x:v>当前返程列表无价格，采用排序第一条</x:v>
      </x:c>
      <x:c r="AF52" s="92" t="str">
        <x:v>https://www.google.com/travel/flights/search?tfs=CBwQAhpLEgoyMDI2LTEwLTAxIiAKA1BWRxIKMjAyNi0xMC0wMRoDTEpHKgJITzIEMTIyOWoMCAISCC9tLzA2d2pmcg0IAhIJL20vMDJmcTRrGikSCjIwMjYtMTAtMDhqDQgCEgkvbS8wMmZxNGtyDAgCEggvbS8wNndqZkABSAFwAYIBCwj___________8BmAEB&amp;tfu=ClhDalJJYTBKcFduQjNPRU4zUjFGQlJYZE5iR2RDUnkwdExTMHRMWE5sY0dReE1TMXVNVUZCUVVGQlIzRlpSSFZWVFRsVVkwbEJFZ1pJVHpFeU1qazRIUT09EgIIACIA&amp;hl=zh-CN&amp;curr=CNY</x:v>
      </x:c>
    </x:row>
    <x:row r="53" ht="42" customHeight="1">
      <x:c r="A53" s="85" t="n">
        <x:f>ROW()-7</x:f>
        <x:v>46</x:v>
      </x:c>
      <x:c r="B53" s="86" t="n">
        <x:v>46297</x:v>
      </x:c>
      <x:c r="C53" s="86" t="n">
        <x:v>46302</x:v>
      </x:c>
      <x:c r="D53" s="87" t="n">
        <x:v>5</x:v>
      </x:c>
      <x:c r="E53" s="88" t="str">
        <x:v>春航</x:v>
      </x:c>
      <x:c r="F53" s="88" t="str">
        <x:v>08:35</x:v>
      </x:c>
      <x:c r="G53" s="88" t="str">
        <x:v>12:20</x:v>
      </x:c>
      <x:c r="H53" s="88" t="str">
        <x:v>上海浦东国际机场</x:v>
      </x:c>
      <x:c r="I53" s="88" t="str">
        <x:v>丽江三义机场</x:v>
      </x:c>
      <x:c r="J53" s="88" t="n">
        <x:v>0</x:v>
      </x:c>
      <x:c r="K53" s="88" t="str">
        <x:v>—</x:v>
      </x:c>
      <x:c r="L53" s="88" t="str">
        <x:v>3 小时 45 分钟</x:v>
      </x:c>
      <x:c r="M53" s="89" t="n">
        <x:v>3830</x:v>
      </x:c>
      <x:c r="N53" s="89" t="n">
        <x:v>350</x:v>
      </x:c>
      <x:c r="O53" s="89" t="n">
        <x:f>M53+N53</x:f>
        <x:v>4180</x:v>
      </x:c>
      <x:c r="P53" s="88" t="str">
        <x:f>IF(O53&lt;5000,"是","否")</x:f>
        <x:v>是</x:v>
      </x:c>
      <x:c r="Q53" s="90" t="str">
        <x:v>春秋低价票可能不含托运；按国内往返20kg保守预留¥350</x:v>
      </x:c>
      <x:c r="R53" s="90" t="str">
        <x:v>该去程对应的最低可订返程组合；具体返程航班需打开来源链接确认</x:v>
      </x:c>
      <x:c r="S53" s="91" t="n">
        <x:v>46267.74647805555</x:v>
      </x:c>
      <x:c r="T53" s="92" t="str">
        <x:v>https://www.google.com/travel/flights?hl=zh-CN&amp;curr=CNY&amp;q=Flights%20from%20Shanghai%20to%20Lijiang%20from%202026-10-02%20to%202026-10-07</x:v>
      </x:c>
      <x:c r="U53" s="136" t="n">
        <x:v>46302</x:v>
      </x:c>
      <x:c r="V53" s="90" t="str">
        <x:v>21:35</x:v>
      </x:c>
      <x:c r="W53" s="90" t="str">
        <x:v>丽江三义机场</x:v>
      </x:c>
      <x:c r="X53" s="137" t="n">
        <x:v>46303</x:v>
      </x:c>
      <x:c r="Y53" s="90" t="str">
        <x:v>01:10</x:v>
      </x:c>
      <x:c r="Z53" s="90" t="str">
        <x:v>上海浦东国际机场</x:v>
      </x:c>
      <x:c r="AA53" s="90" t="str">
        <x:v>春航</x:v>
      </x:c>
      <x:c r="AB53" s="90" t="n">
        <x:v>0</x:v>
      </x:c>
      <x:c r="AC53" s="90" t="str">
        <x:v>3 小时 35 分钟</x:v>
      </x:c>
      <x:c r="AD53" s="138" t="n">
        <x:v>3830</x:v>
      </x:c>
      <x:c r="AE53" s="90" t="str">
        <x:v>匹配原始往返起价</x:v>
      </x:c>
      <x:c r="AF53" s="92" t="str">
        <x:v>https://www.google.com/travel/flights/search?tfs=CBwQAhpLEgoyMDI2LTEwLTAyIiAKA1BWRxIKMjAyNi0xMC0wMhoDTEpHKgI5QzIENjczM2oMCAISCC9tLzA2d2pmcg0IAhIJL20vMDJmcTRrGikSCjIwMjYtMTAtMDdqDQgCEgkvbS8wMmZxNGtyDAgCEggvbS8wNndqZkABSAFwAYIBCwj___________8BmAEB&amp;tfu=CmxDalJJYTBKcFduQjNPRU4zUjFGQlJYWk1XRkZDUnkwdExTMHRMWE5sY0dReE1TMXVNVUZCUVVGQlIzRlpSR3BWUWtoZlZFMUJFZ1k1UXpZM016TWFDZ2oySFJBQUdnTkRUbGs0SEhDYnZRTT0SAggAIgMKATA&amp;hl=zh-CN&amp;curr=CNY</x:v>
      </x:c>
    </x:row>
    <x:row r="54" ht="42" customHeight="1">
      <x:c r="A54" s="85" t="n">
        <x:f>ROW()-7</x:f>
        <x:v>47</x:v>
      </x:c>
      <x:c r="B54" s="86" t="n">
        <x:v>46297</x:v>
      </x:c>
      <x:c r="C54" s="86" t="n">
        <x:v>46301</x:v>
      </x:c>
      <x:c r="D54" s="87" t="n">
        <x:v>4</x:v>
      </x:c>
      <x:c r="E54" s="88" t="str">
        <x:v>春航</x:v>
      </x:c>
      <x:c r="F54" s="88" t="str">
        <x:v>13:45</x:v>
      </x:c>
      <x:c r="G54" s="88" t="str">
        <x:v>17:35</x:v>
      </x:c>
      <x:c r="H54" s="88" t="str">
        <x:v>上海浦东国际机场</x:v>
      </x:c>
      <x:c r="I54" s="88" t="str">
        <x:v>丽江三义机场</x:v>
      </x:c>
      <x:c r="J54" s="88" t="n">
        <x:v>0</x:v>
      </x:c>
      <x:c r="K54" s="88" t="str">
        <x:v>—</x:v>
      </x:c>
      <x:c r="L54" s="88" t="str">
        <x:v>3 小时 50 分钟</x:v>
      </x:c>
      <x:c r="M54" s="89" t="n">
        <x:v>3830</x:v>
      </x:c>
      <x:c r="N54" s="89" t="n">
        <x:v>350</x:v>
      </x:c>
      <x:c r="O54" s="89" t="n">
        <x:f>M54+N54</x:f>
        <x:v>4180</x:v>
      </x:c>
      <x:c r="P54" s="88" t="str">
        <x:f>IF(O54&lt;5000,"是","否")</x:f>
        <x:v>是</x:v>
      </x:c>
      <x:c r="Q54" s="90" t="str">
        <x:v>春秋低价票可能不含托运；按国内往返20kg保守预留¥350</x:v>
      </x:c>
      <x:c r="R54" s="90" t="str">
        <x:v>该去程对应的最低可订返程组合；具体返程航班需打开来源链接确认</x:v>
      </x:c>
      <x:c r="S54" s="91" t="n">
        <x:v>46267.74647805555</x:v>
      </x:c>
      <x:c r="T54" s="92" t="str">
        <x:v>https://www.google.com/travel/flights?hl=zh-CN&amp;curr=CNY&amp;q=Flights%20from%20Shanghai%20to%20Lijiang%20from%202026-10-02%20to%202026-10-06</x:v>
      </x:c>
      <x:c r="U54" s="136" t="n">
        <x:v>46301</x:v>
      </x:c>
      <x:c r="V54" s="90" t="str">
        <x:v>21:35</x:v>
      </x:c>
      <x:c r="W54" s="90" t="str">
        <x:v>丽江三义机场</x:v>
      </x:c>
      <x:c r="X54" s="137" t="n">
        <x:v>46302</x:v>
      </x:c>
      <x:c r="Y54" s="90" t="str">
        <x:v>01:10</x:v>
      </x:c>
      <x:c r="Z54" s="90" t="str">
        <x:v>上海浦东国际机场</x:v>
      </x:c>
      <x:c r="AA54" s="90" t="str">
        <x:v>春航</x:v>
      </x:c>
      <x:c r="AB54" s="90" t="n">
        <x:v>0</x:v>
      </x:c>
      <x:c r="AC54" s="90" t="str">
        <x:v>3 小时 35 分钟</x:v>
      </x:c>
      <x:c r="AD54" s="138" t="n">
        <x:v>3830</x:v>
      </x:c>
      <x:c r="AE54" s="90" t="str">
        <x:v>匹配原始往返起价</x:v>
      </x:c>
      <x:c r="AF54" s="92" t="str">
        <x:v>https://www.google.com/travel/flights/search?tfs=CBwQAhpLEgoyMDI2LTEwLTAyIiAKA1BWRxIKMjAyNi0xMC0wMhoDTEpHKgI5QzIENzExNWoMCAISCC9tLzA2d2pmcg0IAhIJL20vMDJmcTRrGikSCjIwMjYtMTAtMDZqDQgCEgkvbS8wMmZxNGtyDAgCEggvbS8wNndqZkABSAFwAYIBCwj___________8BmAEB&amp;tfu=CmxDalJJVEVWeVNtOXViVTh0ZVZGQlJYSnRaVUZDUnkwdExTMHRMUzB0TFMxelpXTmpPVUZCUVVGQlIzRlpSR3BSVG1WdU1IbEJFZ1k1UXpjeE1UVWFDZ2oySFJBQUdnTkRUbGs0SEhDYnZRTT0SAggAIgMKATA&amp;hl=zh-CN&amp;curr=CNY</x:v>
      </x:c>
    </x:row>
    <x:row r="55" ht="42" customHeight="1">
      <x:c r="A55" s="85" t="n">
        <x:f>ROW()-7</x:f>
        <x:v>48</x:v>
      </x:c>
      <x:c r="B55" s="86" t="n">
        <x:v>46297</x:v>
      </x:c>
      <x:c r="C55" s="86" t="n">
        <x:v>46302</x:v>
      </x:c>
      <x:c r="D55" s="87" t="n">
        <x:v>5</x:v>
      </x:c>
      <x:c r="E55" s="88" t="str">
        <x:v>吉祥航空</x:v>
      </x:c>
      <x:c r="F55" s="88" t="str">
        <x:v>14:55</x:v>
      </x:c>
      <x:c r="G55" s="88" t="str">
        <x:v>18:40</x:v>
      </x:c>
      <x:c r="H55" s="88" t="str">
        <x:v>上海浦东国际机场</x:v>
      </x:c>
      <x:c r="I55" s="88" t="str">
        <x:v>丽江三义机场</x:v>
      </x:c>
      <x:c r="J55" s="88" t="n">
        <x:v>0</x:v>
      </x:c>
      <x:c r="K55" s="88" t="str">
        <x:v>—</x:v>
      </x:c>
      <x:c r="L55" s="88" t="str">
        <x:v>3 小时 45 分钟</x:v>
      </x:c>
      <x:c r="M55" s="89" t="n">
        <x:v>4184</x:v>
      </x:c>
      <x:c r="N55" s="89" t="n">
        <x:v>0</x:v>
      </x:c>
      <x:c r="O55" s="89" t="n">
        <x:f>M55+N55</x:f>
        <x:v>4184</x:v>
      </x:c>
      <x:c r="P55" s="88" t="str">
        <x:f>IF(O55&lt;5000,"是","否")</x:f>
        <x:v>是</x:v>
      </x:c>
      <x:c r="Q55" s="90" t="str">
        <x:v>国内经济舱通常含20kg；出票前须按实际票价等级复核</x:v>
      </x:c>
      <x:c r="R55" s="90" t="str">
        <x:v>该去程对应的最低可订返程组合；具体返程航班需打开来源链接确认</x:v>
      </x:c>
      <x:c r="S55" s="91" t="n">
        <x:v>46267.74647805555</x:v>
      </x:c>
      <x:c r="T55" s="92" t="str">
        <x:v>https://www.google.com/travel/flights?hl=zh-CN&amp;curr=CNY&amp;q=Flights%20from%20Shanghai%20to%20Lijiang%20from%202026-10-02%20to%202026-10-07</x:v>
      </x:c>
      <x:c r="U55" s="136" t="n">
        <x:v>46302</x:v>
      </x:c>
      <x:c r="V55" s="90" t="str">
        <x:v>12:25</x:v>
      </x:c>
      <x:c r="W55" s="90" t="str">
        <x:v>丽江三义机场</x:v>
      </x:c>
      <x:c r="X55" s="137" t="n">
        <x:v>46302</x:v>
      </x:c>
      <x:c r="Y55" s="90" t="str">
        <x:v>15:45</x:v>
      </x:c>
      <x:c r="Z55" s="90" t="str">
        <x:v>上海浦东国际机场</x:v>
      </x:c>
      <x:c r="AA55" s="90" t="str">
        <x:v>吉祥航空</x:v>
      </x:c>
      <x:c r="AB55" s="90" t="n">
        <x:v>0</x:v>
      </x:c>
      <x:c r="AC55" s="90" t="str">
        <x:v>3 小时 20 分钟</x:v>
      </x:c>
      <x:c r="AD55" s="138"/>
      <x:c r="AE55" s="90" t="str">
        <x:v>当前返程列表无价格，采用排序第一条</x:v>
      </x:c>
      <x:c r="AF55" s="92" t="str">
        <x:v>https://www.google.com/travel/flights/search?tfs=CBwQAhpLEgoyMDI2LTEwLTAyIiAKA1BWRxIKMjAyNi0xMC0wMhoDTEpHKgJITzIEMTIyOWoMCAISCC9tLzA2d2pmcg0IAhIJL20vMDJmcTRrGikSCjIwMjYtMTAtMDdqDQgCEgkvbS8wMmZxNGtyDAgCEggvbS8wNndqZkABSAFwAYIBCwj___________8BmAEB&amp;tfu=ClhDalJJYzJVMFgxRk5PR1JrWVZsQlJEUmhZVkZDUnkwdExTMHRMUzB0TFMxemJYUjVOa0ZCUVVGQlIzRlpSR3BWUVRkRGVuZEJFZ1pJVHpFeU1qazRIQT09EgIIACIA&amp;hl=zh-CN&amp;curr=CNY</x:v>
      </x:c>
    </x:row>
    <x:row r="56" ht="42" customHeight="1">
      <x:c r="A56" s="85" t="n">
        <x:f>ROW()-7</x:f>
        <x:v>49</x:v>
      </x:c>
      <x:c r="B56" s="86" t="n">
        <x:v>46297</x:v>
      </x:c>
      <x:c r="C56" s="86" t="n">
        <x:v>46301</x:v>
      </x:c>
      <x:c r="D56" s="87" t="n">
        <x:v>4</x:v>
      </x:c>
      <x:c r="E56" s="88" t="str">
        <x:v>春航</x:v>
      </x:c>
      <x:c r="F56" s="88" t="str">
        <x:v>08:35</x:v>
      </x:c>
      <x:c r="G56" s="88" t="str">
        <x:v>12:20</x:v>
      </x:c>
      <x:c r="H56" s="88" t="str">
        <x:v>上海浦东国际机场</x:v>
      </x:c>
      <x:c r="I56" s="88" t="str">
        <x:v>丽江三义机场</x:v>
      </x:c>
      <x:c r="J56" s="88" t="n">
        <x:v>0</x:v>
      </x:c>
      <x:c r="K56" s="88" t="str">
        <x:v>—</x:v>
      </x:c>
      <x:c r="L56" s="88" t="str">
        <x:v>3 小时 45 分钟</x:v>
      </x:c>
      <x:c r="M56" s="89" t="n">
        <x:v>3980</x:v>
      </x:c>
      <x:c r="N56" s="89" t="n">
        <x:v>350</x:v>
      </x:c>
      <x:c r="O56" s="89" t="n">
        <x:f>M56+N56</x:f>
        <x:v>4330</x:v>
      </x:c>
      <x:c r="P56" s="88" t="str">
        <x:f>IF(O56&lt;5000,"是","否")</x:f>
        <x:v>是</x:v>
      </x:c>
      <x:c r="Q56" s="90" t="str">
        <x:v>春秋低价票可能不含托运；按国内往返20kg保守预留¥350</x:v>
      </x:c>
      <x:c r="R56" s="90" t="str">
        <x:v>该去程对应的最低可订返程组合；具体返程航班需打开来源链接确认</x:v>
      </x:c>
      <x:c r="S56" s="91" t="n">
        <x:v>46267.74647805555</x:v>
      </x:c>
      <x:c r="T56" s="92" t="str">
        <x:v>https://www.google.com/travel/flights?hl=zh-CN&amp;curr=CNY&amp;q=Flights%20from%20Shanghai%20to%20Lijiang%20from%202026-10-02%20to%202026-10-06</x:v>
      </x:c>
      <x:c r="U56" s="136" t="n">
        <x:v>46301</x:v>
      </x:c>
      <x:c r="V56" s="90" t="str">
        <x:v>21:35</x:v>
      </x:c>
      <x:c r="W56" s="90" t="str">
        <x:v>丽江三义机场</x:v>
      </x:c>
      <x:c r="X56" s="137" t="n">
        <x:v>46302</x:v>
      </x:c>
      <x:c r="Y56" s="90" t="str">
        <x:v>01:10</x:v>
      </x:c>
      <x:c r="Z56" s="90" t="str">
        <x:v>上海浦东国际机场</x:v>
      </x:c>
      <x:c r="AA56" s="90" t="str">
        <x:v>春航</x:v>
      </x:c>
      <x:c r="AB56" s="90" t="n">
        <x:v>0</x:v>
      </x:c>
      <x:c r="AC56" s="90" t="str">
        <x:v>3 小时 35 分钟</x:v>
      </x:c>
      <x:c r="AD56" s="138" t="n">
        <x:v>3980</x:v>
      </x:c>
      <x:c r="AE56" s="90" t="str">
        <x:v>匹配原始往返起价</x:v>
      </x:c>
      <x:c r="AF56" s="92" t="str">
        <x:v>https://www.google.com/travel/flights/search?tfs=CBwQAhpLEgoyMDI2LTEwLTAyIiAKA1BWRxIKMjAyNi0xMC0wMhoDTEpHKgI5QzIENjczM2oMCAISCC9tLzA2d2pmcg0IAhIJL20vMDJmcTRrGikSCjIwMjYtMTAtMDZqDQgCEgkvbS8wMmZxNGtyDAgCEggvbS8wNndqZkABSAFwAYIBCwj___________8BmAEB&amp;tfu=CmxDalJJYnpSMU9IcEhkWFk1WVc5QlJqRmFjM2RDUnkwdExTMHRMUzB0TFhObFlteG9OMEZCUVVGQlIzRlpSSFZWVDBOclVGZEJFZ1k1UXpZM016TWFDZ2lNSHhBQUdnTkRUbGs0SFhEVHpnTT0SAggAIgMKATA&amp;hl=zh-CN&amp;curr=CNY</x:v>
      </x:c>
    </x:row>
    <x:row r="57" ht="42" customHeight="1">
      <x:c r="A57" s="85" t="n">
        <x:f>ROW()-7</x:f>
        <x:v>50</x:v>
      </x:c>
      <x:c r="B57" s="86" t="n">
        <x:v>46296</x:v>
      </x:c>
      <x:c r="C57" s="86" t="n">
        <x:v>46301</x:v>
      </x:c>
      <x:c r="D57" s="87" t="n">
        <x:v>5</x:v>
      </x:c>
      <x:c r="E57" s="88" t="str">
        <x:v>东航和吉祥航空</x:v>
      </x:c>
      <x:c r="F57" s="88" t="str">
        <x:v>23:00</x:v>
      </x:c>
      <x:c r="G57" s="88" t="str">
        <x:v>16:45 +1</x:v>
      </x:c>
      <x:c r="H57" s="88" t="str">
        <x:v>上海浦东国际机场</x:v>
      </x:c>
      <x:c r="I57" s="88" t="str">
        <x:v>丽江三义机场</x:v>
      </x:c>
      <x:c r="J57" s="88" t="n">
        <x:v>1</x:v>
      </x:c>
      <x:c r="K57" s="88" t="str">
        <x:v>南京市的南京禄口国际机场 / 13 小时 40 分钟</x:v>
      </x:c>
      <x:c r="L57" s="88" t="str">
        <x:v>17 小时 45 分钟</x:v>
      </x:c>
      <x:c r="M57" s="89" t="n">
        <x:v>4333</x:v>
      </x:c>
      <x:c r="N57" s="89" t="n">
        <x:v>0</x:v>
      </x:c>
      <x:c r="O57" s="89" t="n">
        <x:f>M57+N57</x:f>
        <x:v>4333</x:v>
      </x:c>
      <x:c r="P57" s="88" t="str">
        <x:f>IF(O57&lt;5000,"是","否")</x:f>
        <x:v>是</x:v>
      </x:c>
      <x:c r="Q57" s="90" t="str">
        <x:v>国内经济舱通常含20kg；出票前须按实际票价等级复核</x:v>
      </x:c>
      <x:c r="R57" s="90" t="str">
        <x:v>该去程对应的最低可订返程组合；具体返程航班需打开来源链接确认</x:v>
      </x:c>
      <x:c r="S57" s="91" t="n">
        <x:v>46267.74647805555</x:v>
      </x:c>
      <x:c r="T57" s="92" t="str">
        <x:v>https://www.google.com/travel/flights?hl=zh-CN&amp;curr=CNY&amp;q=Flights%20from%20Shanghai%20to%20Lijiang%20from%202026-10-01%20to%202026-10-06</x:v>
      </x:c>
      <x:c r="U57" s="136"/>
      <x:c r="V57" s="90"/>
      <x:c r="W57" s="90"/>
      <x:c r="X57" s="137"/>
      <x:c r="Y57" s="90"/>
      <x:c r="Z57" s="90"/>
      <x:c r="AA57" s="90"/>
      <x:c r="AB57" s="90"/>
      <x:c r="AC57" s="90"/>
      <x:c r="AD57" s="138"/>
      <x:c r="AE57" s="90" t="str">
        <x:v>去程当前未找到，返程待核验</x:v>
      </x:c>
      <x:c r="AF57" s="92" t="str">
        <x:v>https://www.google.com/travel/flights?hl=zh-CN&amp;curr=CNY&amp;q=Flights%20from%20Shanghai%20to%20Lijiang%20from%202026-10-01%20to%202026-10-06</x:v>
      </x:c>
    </x:row>
    <x:row r="58" ht="42" customHeight="1">
      <x:c r="A58" s="85" t="n">
        <x:f>ROW()-7</x:f>
        <x:v>51</x:v>
      </x:c>
      <x:c r="B58" s="86" t="n">
        <x:v>46296</x:v>
      </x:c>
      <x:c r="C58" s="86" t="n">
        <x:v>46303</x:v>
      </x:c>
      <x:c r="D58" s="87" t="n">
        <x:v>7</x:v>
      </x:c>
      <x:c r="E58" s="88" t="str">
        <x:v>春航和长龙航空</x:v>
      </x:c>
      <x:c r="F58" s="88" t="str">
        <x:v>07:00</x:v>
      </x:c>
      <x:c r="G58" s="88" t="str">
        <x:v>12:45</x:v>
      </x:c>
      <x:c r="H58" s="88" t="str">
        <x:v>上海浦东国际机场</x:v>
      </x:c>
      <x:c r="I58" s="88" t="str">
        <x:v>丽江三义机场</x:v>
      </x:c>
      <x:c r="J58" s="88" t="n">
        <x:v>1</x:v>
      </x:c>
      <x:c r="K58" s="88" t="str">
        <x:v>遵义市的遵义新舟机场 / 1 小时 25 分钟</x:v>
      </x:c>
      <x:c r="L58" s="88" t="str">
        <x:v>5 小时 45 分钟</x:v>
      </x:c>
      <x:c r="M58" s="89" t="n">
        <x:v>4004</x:v>
      </x:c>
      <x:c r="N58" s="89" t="n">
        <x:v>350</x:v>
      </x:c>
      <x:c r="O58" s="89" t="n">
        <x:f>M58+N58</x:f>
        <x:v>4354</x:v>
      </x:c>
      <x:c r="P58" s="88" t="str">
        <x:f>IF(O58&lt;5000,"是","否")</x:f>
        <x:v>是</x:v>
      </x:c>
      <x:c r="Q58" s="90" t="str">
        <x:v>春秋低价票可能不含托运；按国内往返20kg保守预留¥350</x:v>
      </x:c>
      <x:c r="R58" s="90" t="str">
        <x:v>该去程对应的最低可订返程组合；具体返程航班需打开来源链接确认</x:v>
      </x:c>
      <x:c r="S58" s="91" t="n">
        <x:v>46267.74647805555</x:v>
      </x:c>
      <x:c r="T58" s="92" t="str">
        <x:v>https://www.google.com/travel/flights?hl=zh-CN&amp;curr=CNY&amp;q=Flights%20from%20Shanghai%20to%20Lijiang%20from%202026-10-01%20to%202026-10-08</x:v>
      </x:c>
      <x:c r="U58" s="136"/>
      <x:c r="V58" s="90"/>
      <x:c r="W58" s="90"/>
      <x:c r="X58" s="137"/>
      <x:c r="Y58" s="90"/>
      <x:c r="Z58" s="90"/>
      <x:c r="AA58" s="90"/>
      <x:c r="AB58" s="90"/>
      <x:c r="AC58" s="90"/>
      <x:c r="AD58" s="138"/>
      <x:c r="AE58" s="90" t="str">
        <x:v>去程当前未找到，返程待核验</x:v>
      </x:c>
      <x:c r="AF58" s="92" t="str">
        <x:v>https://www.google.com/travel/flights?hl=zh-CN&amp;curr=CNY&amp;q=Flights%20from%20Shanghai%20to%20Lijiang%20from%202026-10-01%20to%202026-10-08</x:v>
      </x:c>
    </x:row>
    <x:row r="59" ht="42" customHeight="1">
      <x:c r="A59" s="85" t="n">
        <x:f>ROW()-7</x:f>
        <x:v>52</x:v>
      </x:c>
      <x:c r="B59" s="86" t="n">
        <x:v>46296</x:v>
      </x:c>
      <x:c r="C59" s="86" t="n">
        <x:v>46303</x:v>
      </x:c>
      <x:c r="D59" s="87" t="n">
        <x:v>7</x:v>
      </x:c>
      <x:c r="E59" s="88" t="str">
        <x:v>国航</x:v>
      </x:c>
      <x:c r="F59" s="88" t="str">
        <x:v>08:00</x:v>
      </x:c>
      <x:c r="G59" s="88" t="str">
        <x:v>12:05</x:v>
      </x:c>
      <x:c r="H59" s="88" t="str">
        <x:v>上海浦东国际机场</x:v>
      </x:c>
      <x:c r="I59" s="88" t="str">
        <x:v>丽江三义机场</x:v>
      </x:c>
      <x:c r="J59" s="88" t="n">
        <x:v>0</x:v>
      </x:c>
      <x:c r="K59" s="88" t="str">
        <x:v>—</x:v>
      </x:c>
      <x:c r="L59" s="88" t="str">
        <x:v>4 小时 5 分钟</x:v>
      </x:c>
      <x:c r="M59" s="89" t="n">
        <x:v>4400</x:v>
      </x:c>
      <x:c r="N59" s="89" t="n">
        <x:v>0</x:v>
      </x:c>
      <x:c r="O59" s="89" t="n">
        <x:f>M59+N59</x:f>
        <x:v>4400</x:v>
      </x:c>
      <x:c r="P59" s="88" t="str">
        <x:f>IF(O59&lt;5000,"是","否")</x:f>
        <x:v>是</x:v>
      </x:c>
      <x:c r="Q59" s="90" t="str">
        <x:v>国内经济舱通常含20kg；出票前须按实际票价等级复核</x:v>
      </x:c>
      <x:c r="R59" s="90" t="str">
        <x:v>该去程对应的最低可订返程组合；具体返程航班需打开来源链接确认</x:v>
      </x:c>
      <x:c r="S59" s="91" t="n">
        <x:v>46267.74647805555</x:v>
      </x:c>
      <x:c r="T59" s="92" t="str">
        <x:v>https://www.google.com/travel/flights?hl=zh-CN&amp;curr=CNY&amp;q=Flights%20from%20Shanghai%20to%20Lijiang%20from%202026-10-01%20to%202026-10-08</x:v>
      </x:c>
      <x:c r="U59" s="136" t="n">
        <x:v>46303</x:v>
      </x:c>
      <x:c r="V59" s="90" t="str">
        <x:v>12:25</x:v>
      </x:c>
      <x:c r="W59" s="90" t="str">
        <x:v>丽江三义机场</x:v>
      </x:c>
      <x:c r="X59" s="137" t="n">
        <x:v>46303</x:v>
      </x:c>
      <x:c r="Y59" s="90" t="str">
        <x:v>15:45</x:v>
      </x:c>
      <x:c r="Z59" s="90" t="str">
        <x:v>上海浦东国际机场</x:v>
      </x:c>
      <x:c r="AA59" s="90" t="str">
        <x:v>吉祥航空</x:v>
      </x:c>
      <x:c r="AB59" s="90" t="n">
        <x:v>0</x:v>
      </x:c>
      <x:c r="AC59" s="90" t="str">
        <x:v>3 小时 20 分钟</x:v>
      </x:c>
      <x:c r="AD59" s="138"/>
      <x:c r="AE59" s="90" t="str">
        <x:v>当前返程列表无价格，采用排序第一条</x:v>
      </x:c>
      <x:c r="AF59" s="92" t="str">
        <x:v>https://www.google.com/travel/flights/search?tfs=CBwQAhpLEgoyMDI2LTEwLTAxIiAKA1BWRxIKMjAyNi0xMC0wMRoDTEpHKgJDQTIEODU1OWoMCAISCC9tLzA2d2pmcg0IAhIJL20vMDJmcTRrGikSCjIwMjYtMTAtMDhqDQgCEgkvbS8wMmZxNGtyDAgCEggvbS8wNndqZkABSAFwAYIBCwj___________8BmAEB&amp;tfu=ClhDalJJWkZWWlJYTm9WSE5zUkc5QlJVbFNjbEZDUnkwdExTMHRMWE50WW1aM09TMXVNVUZCUVVGQlIzRlpSR3huU0ZFeGIydEJFZ1pEUVRnMU5UazRIQT09EgIIACIA&amp;hl=zh-CN&amp;curr=CNY</x:v>
      </x:c>
    </x:row>
    <x:row r="60" ht="42" customHeight="1">
      <x:c r="A60" s="85" t="n">
        <x:f>ROW()-7</x:f>
        <x:v>53</x:v>
      </x:c>
      <x:c r="B60" s="86" t="n">
        <x:v>46296</x:v>
      </x:c>
      <x:c r="C60" s="86" t="n">
        <x:v>46303</x:v>
      </x:c>
      <x:c r="D60" s="87" t="n">
        <x:v>7</x:v>
      </x:c>
      <x:c r="E60" s="88" t="str">
        <x:v>吉祥航空</x:v>
      </x:c>
      <x:c r="F60" s="88" t="str">
        <x:v>08:00</x:v>
      </x:c>
      <x:c r="G60" s="88" t="str">
        <x:v>11:40</x:v>
      </x:c>
      <x:c r="H60" s="88" t="str">
        <x:v>上海浦东国际机场</x:v>
      </x:c>
      <x:c r="I60" s="88" t="str">
        <x:v>丽江三义机场</x:v>
      </x:c>
      <x:c r="J60" s="88" t="n">
        <x:v>0</x:v>
      </x:c>
      <x:c r="K60" s="88" t="str">
        <x:v>—</x:v>
      </x:c>
      <x:c r="L60" s="88" t="str">
        <x:v>3 小时 40 分钟</x:v>
      </x:c>
      <x:c r="M60" s="89" t="n">
        <x:v>4421</x:v>
      </x:c>
      <x:c r="N60" s="89" t="n">
        <x:v>0</x:v>
      </x:c>
      <x:c r="O60" s="89" t="n">
        <x:f>M60+N60</x:f>
        <x:v>4421</x:v>
      </x:c>
      <x:c r="P60" s="88" t="str">
        <x:f>IF(O60&lt;5000,"是","否")</x:f>
        <x:v>是</x:v>
      </x:c>
      <x:c r="Q60" s="90" t="str">
        <x:v>国内经济舱通常含20kg；出票前须按实际票价等级复核</x:v>
      </x:c>
      <x:c r="R60" s="90" t="str">
        <x:v>该去程对应的最低可订返程组合；具体返程航班需打开来源链接确认</x:v>
      </x:c>
      <x:c r="S60" s="91" t="n">
        <x:v>46267.74647805555</x:v>
      </x:c>
      <x:c r="T60" s="92" t="str">
        <x:v>https://www.google.com/travel/flights?hl=zh-CN&amp;curr=CNY&amp;q=Flights%20from%20Shanghai%20to%20Lijiang%20from%202026-10-01%20to%202026-10-08</x:v>
      </x:c>
      <x:c r="U60" s="136" t="n">
        <x:v>46303</x:v>
      </x:c>
      <x:c r="V60" s="90" t="str">
        <x:v>12:25</x:v>
      </x:c>
      <x:c r="W60" s="90" t="str">
        <x:v>丽江三义机场</x:v>
      </x:c>
      <x:c r="X60" s="137" t="n">
        <x:v>46303</x:v>
      </x:c>
      <x:c r="Y60" s="90" t="str">
        <x:v>15:45</x:v>
      </x:c>
      <x:c r="Z60" s="90" t="str">
        <x:v>上海浦东国际机场</x:v>
      </x:c>
      <x:c r="AA60" s="90" t="str">
        <x:v>吉祥航空</x:v>
      </x:c>
      <x:c r="AB60" s="90" t="n">
        <x:v>0</x:v>
      </x:c>
      <x:c r="AC60" s="90" t="str">
        <x:v>3 小时 20 分钟</x:v>
      </x:c>
      <x:c r="AD60" s="138"/>
      <x:c r="AE60" s="90" t="str">
        <x:v>当前返程列表无价格，采用排序第一条</x:v>
      </x:c>
      <x:c r="AF60" s="92" t="str">
        <x:v>https://www.google.com/travel/flights/search?tfs=CBwQAhpLEgoyMDI2LTEwLTAxIiAKA1BWRxIKMjAyNi0xMC0wMRoDTEpHKgJITzIEMTIyN2oMCAISCC9tLzA2d2pmcg0IAhIJL20vMDJmcTRrGikSCjIwMjYtMTAtMDhqDQgCEgkvbS8wMmZxNGtyDAgCEggvbS8wNndqZkABSAFwAYIBCwj___________8BmAEB&amp;tfu=ClhDalJJYjBKcmNXbDVMVVZwVWtGQlJIaGZPV2RDUnkwdExTMHRMUzB0TFhOdGNHUXlNVUZCUVVGQlIzRlpSSFYzUTFCeFNubEJFZ1pJVHpFeU1qYzRIUT09EgIIACIDCgEw&amp;hl=zh-CN&amp;curr=CNY</x:v>
      </x:c>
    </x:row>
    <x:row r="61" ht="42" customHeight="1">
      <x:c r="A61" s="85" t="n">
        <x:f>ROW()-7</x:f>
        <x:v>54</x:v>
      </x:c>
      <x:c r="B61" s="86" t="n">
        <x:v>46297</x:v>
      </x:c>
      <x:c r="C61" s="86" t="n">
        <x:v>46302</x:v>
      </x:c>
      <x:c r="D61" s="87" t="n">
        <x:v>5</x:v>
      </x:c>
      <x:c r="E61" s="88" t="str">
        <x:v>吉祥航空</x:v>
      </x:c>
      <x:c r="F61" s="88" t="str">
        <x:v>08:00</x:v>
      </x:c>
      <x:c r="G61" s="88" t="str">
        <x:v>11:40</x:v>
      </x:c>
      <x:c r="H61" s="88" t="str">
        <x:v>上海浦东国际机场</x:v>
      </x:c>
      <x:c r="I61" s="88" t="str">
        <x:v>丽江三义机场</x:v>
      </x:c>
      <x:c r="J61" s="88" t="n">
        <x:v>0</x:v>
      </x:c>
      <x:c r="K61" s="88" t="str">
        <x:v>—</x:v>
      </x:c>
      <x:c r="L61" s="88" t="str">
        <x:v>3 小时 40 分钟</x:v>
      </x:c>
      <x:c r="M61" s="89" t="n">
        <x:v>4448</x:v>
      </x:c>
      <x:c r="N61" s="89" t="n">
        <x:v>0</x:v>
      </x:c>
      <x:c r="O61" s="89" t="n">
        <x:f>M61+N61</x:f>
        <x:v>4448</x:v>
      </x:c>
      <x:c r="P61" s="88" t="str">
        <x:f>IF(O61&lt;5000,"是","否")</x:f>
        <x:v>是</x:v>
      </x:c>
      <x:c r="Q61" s="90" t="str">
        <x:v>国内经济舱通常含20kg；出票前须按实际票价等级复核</x:v>
      </x:c>
      <x:c r="R61" s="90" t="str">
        <x:v>该去程对应的最低可订返程组合；具体返程航班需打开来源链接确认</x:v>
      </x:c>
      <x:c r="S61" s="91" t="n">
        <x:v>46267.74647805555</x:v>
      </x:c>
      <x:c r="T61" s="92" t="str">
        <x:v>https://www.google.com/travel/flights?hl=zh-CN&amp;curr=CNY&amp;q=Flights%20from%20Shanghai%20to%20Lijiang%20from%202026-10-02%20to%202026-10-07</x:v>
      </x:c>
      <x:c r="U61" s="136" t="n">
        <x:v>46302</x:v>
      </x:c>
      <x:c r="V61" s="90" t="str">
        <x:v>12:25</x:v>
      </x:c>
      <x:c r="W61" s="90" t="str">
        <x:v>丽江三义机场</x:v>
      </x:c>
      <x:c r="X61" s="137" t="n">
        <x:v>46302</x:v>
      </x:c>
      <x:c r="Y61" s="90" t="str">
        <x:v>15:45</x:v>
      </x:c>
      <x:c r="Z61" s="90" t="str">
        <x:v>上海浦东国际机场</x:v>
      </x:c>
      <x:c r="AA61" s="90" t="str">
        <x:v>吉祥航空</x:v>
      </x:c>
      <x:c r="AB61" s="90" t="n">
        <x:v>0</x:v>
      </x:c>
      <x:c r="AC61" s="90" t="str">
        <x:v>3 小时 20 分钟</x:v>
      </x:c>
      <x:c r="AD61" s="138"/>
      <x:c r="AE61" s="90" t="str">
        <x:v>当前返程列表无价格，采用排序第一条</x:v>
      </x:c>
      <x:c r="AF61" s="92" t="str">
        <x:v>https://www.google.com/travel/flights/search?tfs=CBwQAhpLEgoyMDI2LTEwLTAyIiAKA1BWRxIKMjAyNi0xMC0wMhoDTEpHKgJITzIEMTIyN2oMCAISCC9tLzA2d2pmcg0IAhIJL20vMDJmcTRrGikSCjIwMjYtMTAtMDdqDQgCEgkvbS8wMmZxNGtyDAgCEggvbS8wNndqZkABSAFwAYIBCwj___________8BmAEB&amp;tfu=ClhDalJJV25VMlpHdHJNMVpPY1ZsQlJVSjVPVkZDUnkwdExTMHRMUzF6YlhWa015MXVNa0ZCUVVGQlIzRlpSSFZ6VEY5RmVHZEJFZ1pJVHpFeU1qYzRIUT09EgIIACIDCgEw&amp;hl=zh-CN&amp;curr=CNY</x:v>
      </x:c>
    </x:row>
    <x:row r="62" ht="42" customHeight="1">
      <x:c r="A62" s="85" t="n">
        <x:f>ROW()-7</x:f>
        <x:v>55</x:v>
      </x:c>
      <x:c r="B62" s="86" t="n">
        <x:v>46296</x:v>
      </x:c>
      <x:c r="C62" s="86" t="n">
        <x:v>46303</x:v>
      </x:c>
      <x:c r="D62" s="87" t="n">
        <x:v>7</x:v>
      </x:c>
      <x:c r="E62" s="88" t="str">
        <x:v>春航</x:v>
      </x:c>
      <x:c r="F62" s="88" t="str">
        <x:v>08:35</x:v>
      </x:c>
      <x:c r="G62" s="88" t="str">
        <x:v>12:20</x:v>
      </x:c>
      <x:c r="H62" s="88" t="str">
        <x:v>上海浦东国际机场</x:v>
      </x:c>
      <x:c r="I62" s="88" t="str">
        <x:v>丽江三义机场</x:v>
      </x:c>
      <x:c r="J62" s="88" t="n">
        <x:v>0</x:v>
      </x:c>
      <x:c r="K62" s="88" t="str">
        <x:v>—</x:v>
      </x:c>
      <x:c r="L62" s="88" t="str">
        <x:v>3 小时 45 分钟</x:v>
      </x:c>
      <x:c r="M62" s="89" t="n">
        <x:v>4120</x:v>
      </x:c>
      <x:c r="N62" s="89" t="n">
        <x:v>350</x:v>
      </x:c>
      <x:c r="O62" s="89" t="n">
        <x:f>M62+N62</x:f>
        <x:v>4470</x:v>
      </x:c>
      <x:c r="P62" s="88" t="str">
        <x:f>IF(O62&lt;5000,"是","否")</x:f>
        <x:v>是</x:v>
      </x:c>
      <x:c r="Q62" s="90" t="str">
        <x:v>春秋低价票可能不含托运；按国内往返20kg保守预留¥350</x:v>
      </x:c>
      <x:c r="R62" s="90" t="str">
        <x:v>该去程对应的最低可订返程组合；具体返程航班需打开来源链接确认</x:v>
      </x:c>
      <x:c r="S62" s="91" t="n">
        <x:v>46267.74647805555</x:v>
      </x:c>
      <x:c r="T62" s="92" t="str">
        <x:v>https://www.google.com/travel/flights?hl=zh-CN&amp;curr=CNY&amp;q=Flights%20from%20Shanghai%20to%20Lijiang%20from%202026-10-01%20to%202026-10-08</x:v>
      </x:c>
      <x:c r="U62" s="136" t="n">
        <x:v>46303</x:v>
      </x:c>
      <x:c r="V62" s="90" t="str">
        <x:v>21:35</x:v>
      </x:c>
      <x:c r="W62" s="90" t="str">
        <x:v>丽江三义机场</x:v>
      </x:c>
      <x:c r="X62" s="137" t="n">
        <x:v>46304</x:v>
      </x:c>
      <x:c r="Y62" s="90" t="str">
        <x:v>01:10</x:v>
      </x:c>
      <x:c r="Z62" s="90" t="str">
        <x:v>上海浦东国际机场</x:v>
      </x:c>
      <x:c r="AA62" s="90" t="str">
        <x:v>春航</x:v>
      </x:c>
      <x:c r="AB62" s="90" t="n">
        <x:v>0</x:v>
      </x:c>
      <x:c r="AC62" s="90" t="str">
        <x:v>3 小时 35 分钟</x:v>
      </x:c>
      <x:c r="AD62" s="138" t="n">
        <x:v>4120</x:v>
      </x:c>
      <x:c r="AE62" s="90" t="str">
        <x:v>匹配原始往返起价</x:v>
      </x:c>
      <x:c r="AF62" s="92" t="str">
        <x:v>https://www.google.com/travel/flights/search?tfs=CBwQAhpLEgoyMDI2LTEwLTAxIiAKA1BWRxIKMjAyNi0xMC0wMRoDTEpHKgI5QzIENjczM2oMCAISCC9tLzA2d2pmcg0IAhIJL20vMDJmcTRrGikSCjIwMjYtMTAtMDhqDQgCEgkvbS8wMmZxNGtyDAgCEggvbS8wNndqZkABSAFwAYIBCwj___________8BmAEB&amp;tfu=CmxDalJJYzJVMFgxRk5PR1JrWVZsQlJEVmhRVkZDUnkwdExTMHRMUzB0TFMxemJYUjVOa0ZCUVVGQlIzRlpSSFpGU2xaNFkydEJFZ1k1UXpZM016TWFDZ2lZSUJBQUdnTkRUbGs0SFhEMjNnTT0SAggAIgMKATA&amp;hl=zh-CN&amp;curr=CNY</x:v>
      </x:c>
    </x:row>
    <x:row r="63" ht="42" customHeight="1">
      <x:c r="A63" s="85" t="n">
        <x:f>ROW()-7</x:f>
        <x:v>56</x:v>
      </x:c>
      <x:c r="B63" s="86" t="n">
        <x:v>46296</x:v>
      </x:c>
      <x:c r="C63" s="86" t="n">
        <x:v>46300</x:v>
      </x:c>
      <x:c r="D63" s="87" t="n">
        <x:v>4</x:v>
      </x:c>
      <x:c r="E63" s="88" t="str">
        <x:v>春航</x:v>
      </x:c>
      <x:c r="F63" s="88" t="str">
        <x:v>13:45</x:v>
      </x:c>
      <x:c r="G63" s="88" t="str">
        <x:v>17:35</x:v>
      </x:c>
      <x:c r="H63" s="88" t="str">
        <x:v>上海浦东国际机场</x:v>
      </x:c>
      <x:c r="I63" s="88" t="str">
        <x:v>丽江三义机场</x:v>
      </x:c>
      <x:c r="J63" s="88" t="n">
        <x:v>0</x:v>
      </x:c>
      <x:c r="K63" s="88" t="str">
        <x:v>—</x:v>
      </x:c>
      <x:c r="L63" s="88" t="str">
        <x:v>3 小时 50 分钟</x:v>
      </x:c>
      <x:c r="M63" s="89" t="n">
        <x:v>4120</x:v>
      </x:c>
      <x:c r="N63" s="89" t="n">
        <x:v>350</x:v>
      </x:c>
      <x:c r="O63" s="89" t="n">
        <x:f>M63+N63</x:f>
        <x:v>4470</x:v>
      </x:c>
      <x:c r="P63" s="88" t="str">
        <x:f>IF(O63&lt;5000,"是","否")</x:f>
        <x:v>是</x:v>
      </x:c>
      <x:c r="Q63" s="90" t="str">
        <x:v>春秋低价票可能不含托运；按国内往返20kg保守预留¥350</x:v>
      </x:c>
      <x:c r="R63" s="90" t="str">
        <x:v>该去程对应的最低可订返程组合；具体返程航班需打开来源链接确认</x:v>
      </x:c>
      <x:c r="S63" s="91" t="n">
        <x:v>46267.74647805555</x:v>
      </x:c>
      <x:c r="T63" s="92" t="str">
        <x:v>https://www.google.com/travel/flights?hl=zh-CN&amp;curr=CNY&amp;q=Flights%20from%20Shanghai%20to%20Lijiang%20from%202026-10-01%20to%202026-10-05</x:v>
      </x:c>
      <x:c r="U63" s="136" t="n">
        <x:v>46300</x:v>
      </x:c>
      <x:c r="V63" s="90" t="str">
        <x:v>21:35</x:v>
      </x:c>
      <x:c r="W63" s="90" t="str">
        <x:v>丽江三义机场</x:v>
      </x:c>
      <x:c r="X63" s="137" t="n">
        <x:v>46301</x:v>
      </x:c>
      <x:c r="Y63" s="90" t="str">
        <x:v>01:10</x:v>
      </x:c>
      <x:c r="Z63" s="90" t="str">
        <x:v>上海浦东国际机场</x:v>
      </x:c>
      <x:c r="AA63" s="90" t="str">
        <x:v>春航</x:v>
      </x:c>
      <x:c r="AB63" s="90" t="n">
        <x:v>0</x:v>
      </x:c>
      <x:c r="AC63" s="90" t="str">
        <x:v>3 小时 35 分钟</x:v>
      </x:c>
      <x:c r="AD63" s="138" t="n">
        <x:v>4270</x:v>
      </x:c>
      <x:c r="AE63" s="90" t="str">
        <x:v>当前价格已变化，采用当前最低价返程</x:v>
      </x:c>
      <x:c r="AF63" s="92" t="str">
        <x:v>https://www.google.com/travel/flights/search?tfs=CBwQAhpLEgoyMDI2LTEwLTAxIiAKA1BWRxIKMjAyNi0xMC0wMRoDTEpHKgI5QzIENzExNWoMCAISCC9tLzA2d2pmcg0IAhIJL20vMDJmcTRrGikSCjIwMjYtMTAtMDVqDQgCEgkvbS8wMmZxNGtyDAgCEggvbS8wNndqZkABSAFwAYIBCwj___________8BmAEB&amp;tfu=CmxDalJJV25VMlpHdHJNMVpPY1ZsQlJVSXdOa0ZDUnkwdExTMHRMUzF6YlhWa015MXVNa0ZCUVVGQlIzRlpSSFpGUzNCUk5VTkJFZ1k1UXpjeE1UVWFDZ2l1SVJBQUdnTkRUbGs0SFhDdThBTT0SAggAIgMKATA&amp;hl=zh-CN&amp;curr=CNY</x:v>
      </x:c>
    </x:row>
    <x:row r="64" ht="42" customHeight="1">
      <x:c r="A64" s="85" t="n">
        <x:f>ROW()-7</x:f>
        <x:v>57</x:v>
      </x:c>
      <x:c r="B64" s="86" t="n">
        <x:v>46296</x:v>
      </x:c>
      <x:c r="C64" s="86" t="n">
        <x:v>46302</x:v>
      </x:c>
      <x:c r="D64" s="87" t="n">
        <x:v>6</x:v>
      </x:c>
      <x:c r="E64" s="88" t="str">
        <x:v>春航</x:v>
      </x:c>
      <x:c r="F64" s="88" t="str">
        <x:v>17:05</x:v>
      </x:c>
      <x:c r="G64" s="88" t="str">
        <x:v>20:50</x:v>
      </x:c>
      <x:c r="H64" s="88" t="str">
        <x:v>上海浦东国际机场</x:v>
      </x:c>
      <x:c r="I64" s="88" t="str">
        <x:v>丽江三义机场</x:v>
      </x:c>
      <x:c r="J64" s="88" t="n">
        <x:v>0</x:v>
      </x:c>
      <x:c r="K64" s="88" t="str">
        <x:v>—</x:v>
      </x:c>
      <x:c r="L64" s="88" t="str">
        <x:v>3 小时 45 分钟</x:v>
      </x:c>
      <x:c r="M64" s="89" t="n">
        <x:v>4120</x:v>
      </x:c>
      <x:c r="N64" s="89" t="n">
        <x:v>350</x:v>
      </x:c>
      <x:c r="O64" s="89" t="n">
        <x:f>M64+N64</x:f>
        <x:v>4470</x:v>
      </x:c>
      <x:c r="P64" s="88" t="str">
        <x:f>IF(O64&lt;5000,"是","否")</x:f>
        <x:v>是</x:v>
      </x:c>
      <x:c r="Q64" s="90" t="str">
        <x:v>春秋低价票可能不含托运；按国内往返20kg保守预留¥350</x:v>
      </x:c>
      <x:c r="R64" s="90" t="str">
        <x:v>该去程对应的最低可订返程组合；具体返程航班需打开来源链接确认</x:v>
      </x:c>
      <x:c r="S64" s="91" t="n">
        <x:v>46267.74647805555</x:v>
      </x:c>
      <x:c r="T64" s="92" t="str">
        <x:v>https://www.google.com/travel/flights?hl=zh-CN&amp;curr=CNY&amp;q=Flights%20from%20Shanghai%20to%20Lijiang%20from%202026-10-01%20to%202026-10-07</x:v>
      </x:c>
      <x:c r="U64" s="136" t="n">
        <x:v>46302</x:v>
      </x:c>
      <x:c r="V64" s="90" t="str">
        <x:v>21:35</x:v>
      </x:c>
      <x:c r="W64" s="90" t="str">
        <x:v>丽江三义机场</x:v>
      </x:c>
      <x:c r="X64" s="137" t="n">
        <x:v>46303</x:v>
      </x:c>
      <x:c r="Y64" s="90" t="str">
        <x:v>01:10</x:v>
      </x:c>
      <x:c r="Z64" s="90" t="str">
        <x:v>上海浦东国际机场</x:v>
      </x:c>
      <x:c r="AA64" s="90" t="str">
        <x:v>春航</x:v>
      </x:c>
      <x:c r="AB64" s="90" t="n">
        <x:v>0</x:v>
      </x:c>
      <x:c r="AC64" s="90" t="str">
        <x:v>3 小时 35 分钟</x:v>
      </x:c>
      <x:c r="AD64" s="138" t="n">
        <x:v>4120</x:v>
      </x:c>
      <x:c r="AE64" s="90" t="str">
        <x:v>匹配原始往返起价</x:v>
      </x:c>
      <x:c r="AF64" s="92" t="str">
        <x:v>https://www.google.com/travel/flights/search?tfs=CBwQAhpLEgoyMDI2LTEwLTAxIiAKA1BWRxIKMjAyNi0xMC0wMRoDTEpHKgI5QzIENjYxN2oMCAISCC9tLzA2d2pmcg0IAhIJL20vMDJmcTRrGikSCjIwMjYtMTAtMDdqDQgCEgkvbS8wMmZxNGtyDAgCEggvbS8wNndqZkABSAFwAYIBCwj___________8BmAEB&amp;tfu=CmxDalJJUjJOcVVEZzBWMGRIYlVWQlJYTkRRMmRDUnkwdExTMHRMUzB0YzJWaVluVXpOVUZCUVVGQlIzRlpSSFpGUzA1M1JtOUJFZ1k1UXpZMk1UY2FDZ2lZSUJBQUdnTkRUbGs0SFhEMjNnTT0SAggAIgMKATA&amp;hl=zh-CN&amp;curr=CNY</x:v>
      </x:c>
    </x:row>
    <x:row r="65" ht="42" customHeight="1">
      <x:c r="A65" s="85" t="n">
        <x:f>ROW()-7</x:f>
        <x:v>58</x:v>
      </x:c>
      <x:c r="B65" s="86" t="n">
        <x:v>46298</x:v>
      </x:c>
      <x:c r="C65" s="86" t="n">
        <x:v>46303</x:v>
      </x:c>
      <x:c r="D65" s="87" t="n">
        <x:v>5</x:v>
      </x:c>
      <x:c r="E65" s="88" t="str">
        <x:v>吉祥航空</x:v>
      </x:c>
      <x:c r="F65" s="88" t="str">
        <x:v>16:00</x:v>
      </x:c>
      <x:c r="G65" s="88" t="str">
        <x:v>21:15</x:v>
      </x:c>
      <x:c r="H65" s="88" t="str">
        <x:v>上海浦东国际机场</x:v>
      </x:c>
      <x:c r="I65" s="88" t="str">
        <x:v>丽江三义机场</x:v>
      </x:c>
      <x:c r="J65" s="88" t="n">
        <x:v>1</x:v>
      </x:c>
      <x:c r="K65" s="88" t="str">
        <x:v>长沙市的长沙黄花国际机场 / 1 小时</x:v>
      </x:c>
      <x:c r="L65" s="88" t="str">
        <x:v>5 小时 15 分钟</x:v>
      </x:c>
      <x:c r="M65" s="89" t="n">
        <x:v>4504</x:v>
      </x:c>
      <x:c r="N65" s="89" t="n">
        <x:v>0</x:v>
      </x:c>
      <x:c r="O65" s="89" t="n">
        <x:f>M65+N65</x:f>
        <x:v>4504</x:v>
      </x:c>
      <x:c r="P65" s="88" t="str">
        <x:f>IF(O65&lt;5000,"是","否")</x:f>
        <x:v>是</x:v>
      </x:c>
      <x:c r="Q65" s="90" t="str">
        <x:v>国内经济舱通常含20kg；出票前须按实际票价等级复核</x:v>
      </x:c>
      <x:c r="R65" s="90" t="str">
        <x:v>该去程对应的最低可订返程组合；具体返程航班需打开来源链接确认</x:v>
      </x:c>
      <x:c r="S65" s="91" t="n">
        <x:v>46267.74647805555</x:v>
      </x:c>
      <x:c r="T65" s="92" t="str">
        <x:v>https://www.google.com/travel/flights?hl=zh-CN&amp;curr=CNY&amp;q=Flights%20from%20Shanghai%20to%20Lijiang%20from%202026-10-03%20to%202026-10-08</x:v>
      </x:c>
      <x:c r="U65" s="136"/>
      <x:c r="V65" s="90"/>
      <x:c r="W65" s="90"/>
      <x:c r="X65" s="137"/>
      <x:c r="Y65" s="90"/>
      <x:c r="Z65" s="90"/>
      <x:c r="AA65" s="90"/>
      <x:c r="AB65" s="90"/>
      <x:c r="AC65" s="90"/>
      <x:c r="AD65" s="138"/>
      <x:c r="AE65" s="90" t="str">
        <x:v>去程当前未找到，返程待核验</x:v>
      </x:c>
      <x:c r="AF65" s="92" t="str">
        <x:v>https://www.google.com/travel/flights?hl=zh-CN&amp;curr=CNY&amp;q=Flights%20from%20Shanghai%20to%20Lijiang%20from%202026-10-03%20to%202026-10-08</x:v>
      </x:c>
    </x:row>
    <x:row r="66" ht="42" customHeight="1">
      <x:c r="A66" s="85" t="n">
        <x:f>ROW()-7</x:f>
        <x:v>59</x:v>
      </x:c>
      <x:c r="B66" s="86" t="n">
        <x:v>46296</x:v>
      </x:c>
      <x:c r="C66" s="86" t="n">
        <x:v>46301</x:v>
      </x:c>
      <x:c r="D66" s="87" t="n">
        <x:v>5</x:v>
      </x:c>
      <x:c r="E66" s="88" t="str">
        <x:v>春航</x:v>
      </x:c>
      <x:c r="F66" s="88" t="str">
        <x:v>17:05</x:v>
      </x:c>
      <x:c r="G66" s="88" t="str">
        <x:v>20:50</x:v>
      </x:c>
      <x:c r="H66" s="88" t="str">
        <x:v>上海浦东国际机场</x:v>
      </x:c>
      <x:c r="I66" s="88" t="str">
        <x:v>丽江三义机场</x:v>
      </x:c>
      <x:c r="J66" s="88" t="n">
        <x:v>0</x:v>
      </x:c>
      <x:c r="K66" s="88" t="str">
        <x:v>—</x:v>
      </x:c>
      <x:c r="L66" s="88" t="str">
        <x:v>3 小时 45 分钟</x:v>
      </x:c>
      <x:c r="M66" s="89" t="n">
        <x:v>4270</x:v>
      </x:c>
      <x:c r="N66" s="89" t="n">
        <x:v>350</x:v>
      </x:c>
      <x:c r="O66" s="89" t="n">
        <x:f>M66+N66</x:f>
        <x:v>4620</x:v>
      </x:c>
      <x:c r="P66" s="88" t="str">
        <x:f>IF(O66&lt;5000,"是","否")</x:f>
        <x:v>是</x:v>
      </x:c>
      <x:c r="Q66" s="90" t="str">
        <x:v>春秋低价票可能不含托运；按国内往返20kg保守预留¥350</x:v>
      </x:c>
      <x:c r="R66" s="90" t="str">
        <x:v>该去程对应的最低可订返程组合；具体返程航班需打开来源链接确认</x:v>
      </x:c>
      <x:c r="S66" s="91" t="n">
        <x:v>46267.74647805555</x:v>
      </x:c>
      <x:c r="T66" s="92" t="str">
        <x:v>https://www.google.com/travel/flights?hl=zh-CN&amp;curr=CNY&amp;q=Flights%20from%20Shanghai%20to%20Lijiang%20from%202026-10-01%20to%202026-10-06</x:v>
      </x:c>
      <x:c r="U66" s="136" t="n">
        <x:v>46301</x:v>
      </x:c>
      <x:c r="V66" s="90" t="str">
        <x:v>21:35</x:v>
      </x:c>
      <x:c r="W66" s="90" t="str">
        <x:v>丽江三义机场</x:v>
      </x:c>
      <x:c r="X66" s="137" t="n">
        <x:v>46302</x:v>
      </x:c>
      <x:c r="Y66" s="90" t="str">
        <x:v>01:10</x:v>
      </x:c>
      <x:c r="Z66" s="90" t="str">
        <x:v>上海浦东国际机场</x:v>
      </x:c>
      <x:c r="AA66" s="90" t="str">
        <x:v>春航</x:v>
      </x:c>
      <x:c r="AB66" s="90" t="n">
        <x:v>0</x:v>
      </x:c>
      <x:c r="AC66" s="90" t="str">
        <x:v>3 小时 35 分钟</x:v>
      </x:c>
      <x:c r="AD66" s="138" t="n">
        <x:v>4270</x:v>
      </x:c>
      <x:c r="AE66" s="90" t="str">
        <x:v>匹配原始往返起价</x:v>
      </x:c>
      <x:c r="AF66" s="92" t="str">
        <x:v>https://www.google.com/travel/flights/search?tfs=CBwQAhpLEgoyMDI2LTEwLTAxIiAKA1BWRxIKMjAyNi0xMC0wMRoDTEpHKgI5QzIENjYxN2oMCAISCC9tLzA2d2pmcg0IAhIJL20vMDJmcTRrGikSCjIwMjYtMTAtMDZqDQgCEgkvbS8wMmZxNGtyDAgCEggvbS8wNndqZkABSAFwAYIBCwj___________8BmAEB&amp;tfu=CmxDalJJU0dwUmRETldNWGhSUVd0QlJtSkVTVUZDUnkwdExTMHRMUzB0TFhOdFltUjFPVUZCUVVGQlIzRlpSSFpqUkRKRmNVVkJFZ1k1UXpZMk1UY2FDZ2l1SVJBQUdnTkRUbGs0SFhDdThBTT0SAggAIgMKATA&amp;hl=zh-CN&amp;curr=CNY</x:v>
      </x:c>
    </x:row>
    <x:row r="67" ht="42" customHeight="1">
      <x:c r="A67" s="85" t="n">
        <x:f>ROW()-7</x:f>
        <x:v>60</x:v>
      </x:c>
      <x:c r="B67" s="86" t="n">
        <x:v>46297</x:v>
      </x:c>
      <x:c r="C67" s="86" t="n">
        <x:v>46302</x:v>
      </x:c>
      <x:c r="D67" s="87" t="n">
        <x:v>5</x:v>
      </x:c>
      <x:c r="E67" s="88" t="str">
        <x:v>东航</x:v>
      </x:c>
      <x:c r="F67" s="88" t="str">
        <x:v>06:40</x:v>
      </x:c>
      <x:c r="G67" s="88" t="str">
        <x:v>10:20</x:v>
      </x:c>
      <x:c r="H67" s="88" t="str">
        <x:v>上海浦东国际机场</x:v>
      </x:c>
      <x:c r="I67" s="88" t="str">
        <x:v>丽江三义机场</x:v>
      </x:c>
      <x:c r="J67" s="88" t="n">
        <x:v>0</x:v>
      </x:c>
      <x:c r="K67" s="88" t="str">
        <x:v>—</x:v>
      </x:c>
      <x:c r="L67" s="88" t="str">
        <x:v>3 小时 40 分钟</x:v>
      </x:c>
      <x:c r="M67" s="89" t="n">
        <x:v>4633</x:v>
      </x:c>
      <x:c r="N67" s="89" t="n">
        <x:v>0</x:v>
      </x:c>
      <x:c r="O67" s="89" t="n">
        <x:f>M67+N67</x:f>
        <x:v>4633</x:v>
      </x:c>
      <x:c r="P67" s="88" t="str">
        <x:f>IF(O67&lt;5000,"是","否")</x:f>
        <x:v>是</x:v>
      </x:c>
      <x:c r="Q67" s="90" t="str">
        <x:v>国内经济舱通常含20kg；出票前须按实际票价等级复核</x:v>
      </x:c>
      <x:c r="R67" s="90" t="str">
        <x:v>该去程对应的最低可订返程组合；具体返程航班需打开来源链接确认</x:v>
      </x:c>
      <x:c r="S67" s="91" t="n">
        <x:v>46267.74647805555</x:v>
      </x:c>
      <x:c r="T67" s="92" t="str">
        <x:v>https://www.google.com/travel/flights?hl=zh-CN&amp;curr=CNY&amp;q=Flights%20from%20Shanghai%20to%20Lijiang%20from%202026-10-02%20to%202026-10-07</x:v>
      </x:c>
      <x:c r="U67" s="136" t="n">
        <x:v>46302</x:v>
      </x:c>
      <x:c r="V67" s="90" t="str">
        <x:v>11:05</x:v>
      </x:c>
      <x:c r="W67" s="90" t="str">
        <x:v>丽江三义机场</x:v>
      </x:c>
      <x:c r="X67" s="137" t="n">
        <x:v>46302</x:v>
      </x:c>
      <x:c r="Y67" s="90" t="str">
        <x:v>14:25</x:v>
      </x:c>
      <x:c r="Z67" s="90" t="str">
        <x:v>上海浦东国际机场</x:v>
      </x:c>
      <x:c r="AA67" s="90" t="str">
        <x:v>东航</x:v>
      </x:c>
      <x:c r="AB67" s="90" t="n">
        <x:v>0</x:v>
      </x:c>
      <x:c r="AC67" s="90" t="str">
        <x:v>3 小时 20 分钟</x:v>
      </x:c>
      <x:c r="AD67" s="138"/>
      <x:c r="AE67" s="90" t="str">
        <x:v>当前返程列表无价格，采用排序第一条</x:v>
      </x:c>
      <x:c r="AF67" s="92" t="str">
        <x:v>https://www.google.com/travel/flights/search?tfs=CBwQAhpLEgoyMDI2LTEwLTAyIiAKA1BWRxIKMjAyNi0xMC0wMhoDTEpHKgJNVTIENjE0NWoMCAISCC9tLzA2d2pmcg0IAhIJL20vMDJmcTRrGikSCjIwMjYtMTAtMDdqDQgCEgkvbS8wMmZxNGtyDAgCEggvbS8wNndqZkABSAFwAYIBCwj___________8BmAEB&amp;tfu=ClhDalJJVEVWeVNtOXViVTh0ZVZGQlJYTnlhVUZDUnkwdExTMHRMUzB0TFMxelpXTmpPVUZCUVVGQlIzRlpSSFpqUkZGUFYzVkJFZ1pOVlRZeE5EVTRIUT09EgIIACIA&amp;hl=zh-CN&amp;curr=CNY</x:v>
      </x:c>
    </x:row>
    <x:row r="68" ht="42" customHeight="1">
      <x:c r="A68" s="85" t="n">
        <x:f>ROW()-7</x:f>
        <x:v>61</x:v>
      </x:c>
      <x:c r="B68" s="86" t="n">
        <x:v>46296</x:v>
      </x:c>
      <x:c r="C68" s="86" t="n">
        <x:v>46303</x:v>
      </x:c>
      <x:c r="D68" s="87" t="n">
        <x:v>7</x:v>
      </x:c>
      <x:c r="E68" s="88" t="str">
        <x:v>东航</x:v>
      </x:c>
      <x:c r="F68" s="88" t="str">
        <x:v>06:45</x:v>
      </x:c>
      <x:c r="G68" s="88" t="str">
        <x:v>10:30</x:v>
      </x:c>
      <x:c r="H68" s="88" t="str">
        <x:v>上海浦东国际机场</x:v>
      </x:c>
      <x:c r="I68" s="88" t="str">
        <x:v>丽江三义机场</x:v>
      </x:c>
      <x:c r="J68" s="88" t="n">
        <x:v>0</x:v>
      </x:c>
      <x:c r="K68" s="88" t="str">
        <x:v>—</x:v>
      </x:c>
      <x:c r="L68" s="88" t="str">
        <x:v>3 小时 45 分钟</x:v>
      </x:c>
      <x:c r="M68" s="89" t="n">
        <x:v>4725</x:v>
      </x:c>
      <x:c r="N68" s="89" t="n">
        <x:v>0</x:v>
      </x:c>
      <x:c r="O68" s="89" t="n">
        <x:f>M68+N68</x:f>
        <x:v>4725</x:v>
      </x:c>
      <x:c r="P68" s="88" t="str">
        <x:f>IF(O68&lt;5000,"是","否")</x:f>
        <x:v>是</x:v>
      </x:c>
      <x:c r="Q68" s="90" t="str">
        <x:v>国内经济舱通常含20kg；出票前须按实际票价等级复核</x:v>
      </x:c>
      <x:c r="R68" s="90" t="str">
        <x:v>该去程对应的最低可订返程组合；具体返程航班需打开来源链接确认</x:v>
      </x:c>
      <x:c r="S68" s="91" t="n">
        <x:v>46267.74647805555</x:v>
      </x:c>
      <x:c r="T68" s="92" t="str">
        <x:v>https://www.google.com/travel/flights?hl=zh-CN&amp;curr=CNY&amp;q=Flights%20from%20Shanghai%20to%20Lijiang%20from%202026-10-01%20to%202026-10-08</x:v>
      </x:c>
      <x:c r="U68" s="136" t="n">
        <x:v>46303</x:v>
      </x:c>
      <x:c r="V68" s="90" t="str">
        <x:v>11:20</x:v>
      </x:c>
      <x:c r="W68" s="90" t="str">
        <x:v>丽江三义机场</x:v>
      </x:c>
      <x:c r="X68" s="137" t="n">
        <x:v>46303</x:v>
      </x:c>
      <x:c r="Y68" s="90" t="str">
        <x:v>14:35</x:v>
      </x:c>
      <x:c r="Z68" s="90" t="str">
        <x:v>上海浦东国际机场</x:v>
      </x:c>
      <x:c r="AA68" s="90" t="str">
        <x:v>东航</x:v>
      </x:c>
      <x:c r="AB68" s="90" t="n">
        <x:v>0</x:v>
      </x:c>
      <x:c r="AC68" s="90" t="str">
        <x:v>3 小时 15 分钟</x:v>
      </x:c>
      <x:c r="AD68" s="138"/>
      <x:c r="AE68" s="90" t="str">
        <x:v>当前返程列表无价格，采用排序第一条</x:v>
      </x:c>
      <x:c r="AF68" s="92" t="str">
        <x:v>https://www.google.com/travel/flights/search?tfs=CBwQAhpLEgoyMDI2LTEwLTAxIiAKA1BWRxIKMjAyNi0xMC0wMRoDTEpHKgJNVTIENjE0NWoMCAISCC9tLzA2d2pmcg0IAhIJL20vMDJmcTRrGikSCjIwMjYtMTAtMDhqDQgCEgkvbS8wMmZxNGtyDAgCEggvbS8wNndqZkABSAFwAYIBCwj___________8BmAEB&amp;tfu=ClhDalJJTFhrM016ZFNRVGg0ZUZGQlJYTm9MWGRDUnkwdExTMHRMUzF6WldKdU15MXVNa0ZCUVVGQlIzRlpSSFpqUlVaNmJsbEJFZ1pOVlRZeE5EVTRIUT09EgIIACIDCgEw&amp;hl=zh-CN&amp;curr=CNY</x:v>
      </x:c>
    </x:row>
    <x:row r="69" ht="42" customHeight="1">
      <x:c r="A69" s="85" t="n">
        <x:f>ROW()-7</x:f>
        <x:v>62</x:v>
      </x:c>
      <x:c r="B69" s="86" t="n">
        <x:v>46299</x:v>
      </x:c>
      <x:c r="C69" s="86" t="n">
        <x:v>46304</x:v>
      </x:c>
      <x:c r="D69" s="87" t="n">
        <x:v>5</x:v>
      </x:c>
      <x:c r="E69" s="88" t="str">
        <x:v>深航</x:v>
      </x:c>
      <x:c r="F69" s="88" t="str">
        <x:v>19:15</x:v>
      </x:c>
      <x:c r="G69" s="88" t="str">
        <x:v>10:30 +1</x:v>
      </x:c>
      <x:c r="H69" s="88" t="str">
        <x:v>上海浦东国际机场</x:v>
      </x:c>
      <x:c r="I69" s="88" t="str">
        <x:v>丽江三义机场</x:v>
      </x:c>
      <x:c r="J69" s="88" t="n">
        <x:v>1</x:v>
      </x:c>
      <x:c r="K69" s="88" t="str">
        <x:v>广州市的广州白云国际机场 / 9 小时 35 分钟</x:v>
      </x:c>
      <x:c r="L69" s="88" t="str">
        <x:v>15 小时 15 分钟</x:v>
      </x:c>
      <x:c r="M69" s="89" t="n">
        <x:v>4740</x:v>
      </x:c>
      <x:c r="N69" s="89" t="n">
        <x:v>0</x:v>
      </x:c>
      <x:c r="O69" s="89" t="n">
        <x:f>M69+N69</x:f>
        <x:v>4740</x:v>
      </x:c>
      <x:c r="P69" s="88" t="str">
        <x:f>IF(O69&lt;5000,"是","否")</x:f>
        <x:v>是</x:v>
      </x:c>
      <x:c r="Q69" s="90" t="str">
        <x:v>国内经济舱通常含20kg；出票前须按实际票价等级复核</x:v>
      </x:c>
      <x:c r="R69" s="90" t="str">
        <x:v>该去程对应的最低可订返程组合；具体返程航班需打开来源链接确认</x:v>
      </x:c>
      <x:c r="S69" s="91" t="n">
        <x:v>46267.74647805555</x:v>
      </x:c>
      <x:c r="T69" s="92" t="str">
        <x:v>https://www.google.com/travel/flights?hl=zh-CN&amp;curr=CNY&amp;q=Flights%20from%20Shanghai%20to%20Lijiang%20from%202026-10-04%20to%202026-10-09</x:v>
      </x:c>
      <x:c r="U69" s="136" t="n">
        <x:v>46304</x:v>
      </x:c>
      <x:c r="V69" s="90" t="str">
        <x:v>11:20</x:v>
      </x:c>
      <x:c r="W69" s="90" t="str">
        <x:v>丽江三义机场</x:v>
      </x:c>
      <x:c r="X69" s="137" t="n">
        <x:v>46305</x:v>
      </x:c>
      <x:c r="Y69" s="90" t="str">
        <x:v>11:15</x:v>
      </x:c>
      <x:c r="Z69" s="90" t="str">
        <x:v>上海浦东国际机场</x:v>
      </x:c>
      <x:c r="AA69" s="90" t="str">
        <x:v>深航</x:v>
      </x:c>
      <x:c r="AB69" s="90" t="n">
        <x:v>1</x:v>
      </x:c>
      <x:c r="AC69" s="90" t="str">
        <x:v>23 小时 55 分钟</x:v>
      </x:c>
      <x:c r="AD69" s="138" t="n">
        <x:v>4740</x:v>
      </x:c>
      <x:c r="AE69" s="90" t="str">
        <x:v>匹配原始往返起价</x:v>
      </x:c>
      <x:c r="AF69" s="92" t="str">
        <x:v>https://www.google.com/travel/flights/search?tfs=CBwQAhptEgoyMDI2LTEwLTA0IiAKA1BWRxIKMjAyNi0xMC0wNBoDQ0FOKgJaSDIEOTUzNCIgCgNDQU4SCjIwMjYtMTAtMDUaA0xKRyoCWkgyBDg5MDNqDAgCEggvbS8wNndqZnINCAISCS9tLzAyZnE0axopEgoyMDI2LTEwLTA5ag0IAhIJL20vMDJmcTRrcgwIAhIIL20vMDZ3amZAAUgBcAGCAQsI____________AZgBAQ&amp;tfu=CnRDalJJY2pKUlRVOUphVk5QUmxsQlJIbEVTWGRDUnkwdExTMHRMUzB0TFMxemJXRXhNMEZCUVVGQlIzRlpSSFpqUlU1Vlh5MUJFZzFhU0RrMU16UjhXa2c0T1RBekdnb0loQ1VRQUJvRFEwNVpPQjF3LzZZRRICCAAiAA&amp;hl=zh-CN&amp;curr=CNY</x:v>
      </x:c>
    </x:row>
    <x:row r="70" ht="42" customHeight="1">
      <x:c r="A70" s="85" t="n">
        <x:f>ROW()-7</x:f>
        <x:v>63</x:v>
      </x:c>
      <x:c r="B70" s="86" t="n">
        <x:v>46297</x:v>
      </x:c>
      <x:c r="C70" s="86" t="n">
        <x:v>46304</x:v>
      </x:c>
      <x:c r="D70" s="87" t="n">
        <x:v>7</x:v>
      </x:c>
      <x:c r="E70" s="88" t="str">
        <x:v>深航</x:v>
      </x:c>
      <x:c r="F70" s="88" t="str">
        <x:v>19:15</x:v>
      </x:c>
      <x:c r="G70" s="88" t="str">
        <x:v>10:30 +1</x:v>
      </x:c>
      <x:c r="H70" s="88" t="str">
        <x:v>上海浦东国际机场</x:v>
      </x:c>
      <x:c r="I70" s="88" t="str">
        <x:v>丽江三义机场</x:v>
      </x:c>
      <x:c r="J70" s="88" t="n">
        <x:v>1</x:v>
      </x:c>
      <x:c r="K70" s="88" t="str">
        <x:v>广州市的广州白云国际机场 / 9 小时 35 分钟</x:v>
      </x:c>
      <x:c r="L70" s="88" t="str">
        <x:v>15 小时 15 分钟</x:v>
      </x:c>
      <x:c r="M70" s="89" t="n">
        <x:v>4860</x:v>
      </x:c>
      <x:c r="N70" s="89" t="n">
        <x:v>0</x:v>
      </x:c>
      <x:c r="O70" s="89" t="n">
        <x:f>M70+N70</x:f>
        <x:v>4860</x:v>
      </x:c>
      <x:c r="P70" s="88" t="str">
        <x:f>IF(O70&lt;5000,"是","否")</x:f>
        <x:v>是</x:v>
      </x:c>
      <x:c r="Q70" s="90" t="str">
        <x:v>国内经济舱通常含20kg；出票前须按实际票价等级复核</x:v>
      </x:c>
      <x:c r="R70" s="90" t="str">
        <x:v>该去程对应的最低可订返程组合；具体返程航班需打开来源链接确认</x:v>
      </x:c>
      <x:c r="S70" s="91" t="n">
        <x:v>46267.74647805555</x:v>
      </x:c>
      <x:c r="T70" s="92" t="str">
        <x:v>https://www.google.com/travel/flights?hl=zh-CN&amp;curr=CNY&amp;q=Flights%20from%20Shanghai%20to%20Lijiang%20from%202026-10-02%20to%202026-10-09</x:v>
      </x:c>
      <x:c r="U70" s="136" t="n">
        <x:v>46304</x:v>
      </x:c>
      <x:c r="V70" s="90" t="str">
        <x:v>11:20</x:v>
      </x:c>
      <x:c r="W70" s="90" t="str">
        <x:v>丽江三义机场</x:v>
      </x:c>
      <x:c r="X70" s="137" t="n">
        <x:v>46305</x:v>
      </x:c>
      <x:c r="Y70" s="90" t="str">
        <x:v>11:15</x:v>
      </x:c>
      <x:c r="Z70" s="90" t="str">
        <x:v>上海浦东国际机场</x:v>
      </x:c>
      <x:c r="AA70" s="90" t="str">
        <x:v>深航</x:v>
      </x:c>
      <x:c r="AB70" s="90" t="n">
        <x:v>1</x:v>
      </x:c>
      <x:c r="AC70" s="90" t="str">
        <x:v>23 小时 55 分钟</x:v>
      </x:c>
      <x:c r="AD70" s="138" t="n">
        <x:v>4860</x:v>
      </x:c>
      <x:c r="AE70" s="90" t="str">
        <x:v>匹配原始往返起价</x:v>
      </x:c>
      <x:c r="AF70" s="92" t="str">
        <x:v>https://www.google.com/travel/flights/search?tfs=CBwQAhptEgoyMDI2LTEwLTAyIiAKA1BWRxIKMjAyNi0xMC0wMhoDQ0FOKgJaSDIEOTUzNCIgCgNDQU4SCjIwMjYtMTAtMDMaA0xKRyoCWkgyBDg5MDNqDAgCEggvbS8wNndqZnINCAISCS9tLzAyZnE0axopEgoyMDI2LTEwLTA5ag0IAhIJL20vMDJmcTRrcgwIAhIIL20vMDZ3amZAAUgBcAGCAQsI____________AZgBAQ&amp;tfu=CnRDalJJYjBOd1MydElWbTlpTW1OQlJIcFZSMEZDUnkwdExTMHRMWE50WTNkck55MXVNa0ZCUVVGQlIzRlpSSFozVDBwdk9FRkJFZzFhU0RrMU16UjhXa2c0T1RBekdnb0kvQ1VRQUJvRFEwNVpPQjF3K0xRRRICCAAiAA&amp;hl=zh-CN&amp;curr=CNY</x:v>
      </x:c>
    </x:row>
    <x:row r="71" ht="42" customHeight="1">
      <x:c r="A71" s="85" t="n">
        <x:f>ROW()-7</x:f>
        <x:v>64</x:v>
      </x:c>
      <x:c r="B71" s="86" t="n">
        <x:v>46296</x:v>
      </x:c>
      <x:c r="C71" s="86" t="n">
        <x:v>46302</x:v>
      </x:c>
      <x:c r="D71" s="87" t="n">
        <x:v>6</x:v>
      </x:c>
      <x:c r="E71" s="88" t="str">
        <x:v>春航</x:v>
      </x:c>
      <x:c r="F71" s="88" t="str">
        <x:v>13:45</x:v>
      </x:c>
      <x:c r="G71" s="88" t="str">
        <x:v>17:35</x:v>
      </x:c>
      <x:c r="H71" s="88" t="str">
        <x:v>上海浦东国际机场</x:v>
      </x:c>
      <x:c r="I71" s="88" t="str">
        <x:v>丽江三义机场</x:v>
      </x:c>
      <x:c r="J71" s="88" t="n">
        <x:v>0</x:v>
      </x:c>
      <x:c r="K71" s="88" t="str">
        <x:v>—</x:v>
      </x:c>
      <x:c r="L71" s="88" t="str">
        <x:v>3 小时 50 分钟</x:v>
      </x:c>
      <x:c r="M71" s="89" t="n">
        <x:v>4560</x:v>
      </x:c>
      <x:c r="N71" s="89" t="n">
        <x:v>350</x:v>
      </x:c>
      <x:c r="O71" s="89" t="n">
        <x:f>M71+N71</x:f>
        <x:v>4910</x:v>
      </x:c>
      <x:c r="P71" s="88" t="str">
        <x:f>IF(O71&lt;5000,"是","否")</x:f>
        <x:v>是</x:v>
      </x:c>
      <x:c r="Q71" s="90" t="str">
        <x:v>春秋低价票可能不含托运；按国内往返20kg保守预留¥350</x:v>
      </x:c>
      <x:c r="R71" s="90" t="str">
        <x:v>该去程对应的最低可订返程组合；具体返程航班需打开来源链接确认</x:v>
      </x:c>
      <x:c r="S71" s="91" t="n">
        <x:v>46267.74647805555</x:v>
      </x:c>
      <x:c r="T71" s="92" t="str">
        <x:v>https://www.google.com/travel/flights?hl=zh-CN&amp;curr=CNY&amp;q=Flights%20from%20Shanghai%20to%20Lijiang%20from%202026-10-01%20to%202026-10-07</x:v>
      </x:c>
      <x:c r="U71" s="136" t="n">
        <x:v>46302</x:v>
      </x:c>
      <x:c r="V71" s="90" t="str">
        <x:v>21:35</x:v>
      </x:c>
      <x:c r="W71" s="90" t="str">
        <x:v>丽江三义机场</x:v>
      </x:c>
      <x:c r="X71" s="137" t="n">
        <x:v>46303</x:v>
      </x:c>
      <x:c r="Y71" s="90" t="str">
        <x:v>01:10</x:v>
      </x:c>
      <x:c r="Z71" s="90" t="str">
        <x:v>上海浦东国际机场</x:v>
      </x:c>
      <x:c r="AA71" s="90" t="str">
        <x:v>春航</x:v>
      </x:c>
      <x:c r="AB71" s="90" t="n">
        <x:v>0</x:v>
      </x:c>
      <x:c r="AC71" s="90" t="str">
        <x:v>3 小时 35 分钟</x:v>
      </x:c>
      <x:c r="AD71" s="138" t="n">
        <x:v>4560</x:v>
      </x:c>
      <x:c r="AE71" s="90" t="str">
        <x:v>匹配原始往返起价</x:v>
      </x:c>
      <x:c r="AF71" s="92" t="str">
        <x:v>https://www.google.com/travel/flights/search?tfs=CBwQAhpLEgoyMDI2LTEwLTAxIiAKA1BWRxIKMjAyNi0xMC0wMRoDTEpHKgI5QzIENzExNWoMCAISCC9tLzA2d2pmcg0IAhIJL20vMDJmcTRrGikSCjIwMjYtMTAtMDdqDQgCEgkvbS8wMmZxNGtyDAgCEggvbS8wNndqZkABSAFwAYIBCwj___________8BmAEB&amp;tfu=CmxDalJJUldWVWVrOVRPSFJGVkRCQlJWcExWSGRDUnkwdExTMHRMUzB0TFhObFoyY3lOMEZCUVVGQlIzRlpSSFozVDJWRVRtdEJFZ1k1UXpjeE1UVWFDZ2pRSXhBQUdnTkRUbGs0SFhDSmtnUT0SAggAIgMKATA&amp;hl=zh-CN&amp;curr=CNY</x:v>
      </x:c>
    </x:row>
    <x:row r="72" ht="42" customHeight="1">
      <x:c r="A72" s="93" t="n">
        <x:f>ROW()-7</x:f>
        <x:v>65</x:v>
      </x:c>
      <x:c r="B72" s="94" t="n">
        <x:v>46296</x:v>
      </x:c>
      <x:c r="C72" s="94" t="n">
        <x:v>46300</x:v>
      </x:c>
      <x:c r="D72" s="95" t="n">
        <x:v>4</x:v>
      </x:c>
      <x:c r="E72" s="96" t="str">
        <x:v>春航</x:v>
      </x:c>
      <x:c r="F72" s="96" t="str">
        <x:v>08:35</x:v>
      </x:c>
      <x:c r="G72" s="96" t="str">
        <x:v>12:20</x:v>
      </x:c>
      <x:c r="H72" s="96" t="str">
        <x:v>上海浦东国际机场</x:v>
      </x:c>
      <x:c r="I72" s="96" t="str">
        <x:v>丽江三义机场</x:v>
      </x:c>
      <x:c r="J72" s="96" t="n">
        <x:v>0</x:v>
      </x:c>
      <x:c r="K72" s="96" t="str">
        <x:v>—</x:v>
      </x:c>
      <x:c r="L72" s="96" t="str">
        <x:v>3 小时 45 分钟</x:v>
      </x:c>
      <x:c r="M72" s="97" t="n">
        <x:v>4570</x:v>
      </x:c>
      <x:c r="N72" s="97" t="n">
        <x:v>350</x:v>
      </x:c>
      <x:c r="O72" s="97" t="n">
        <x:f>M72+N72</x:f>
        <x:v>4920</x:v>
      </x:c>
      <x:c r="P72" s="96" t="str">
        <x:f>IF(O72&lt;5000,"是","否")</x:f>
        <x:v>是</x:v>
      </x:c>
      <x:c r="Q72" s="98" t="str">
        <x:v>春秋低价票可能不含托运；按国内往返20kg保守预留¥350</x:v>
      </x:c>
      <x:c r="R72" s="98" t="str">
        <x:v>该去程对应的最低可订返程组合；具体返程航班需打开来源链接确认</x:v>
      </x:c>
      <x:c r="S72" s="99" t="n">
        <x:v>46267.74647805555</x:v>
      </x:c>
      <x:c r="T72" s="100" t="str">
        <x:v>https://www.google.com/travel/flights?hl=zh-CN&amp;curr=CNY&amp;q=Flights%20from%20Shanghai%20to%20Lijiang%20from%202026-10-01%20to%202026-10-05</x:v>
      </x:c>
      <x:c r="U72" s="139" t="n">
        <x:v>46300</x:v>
      </x:c>
      <x:c r="V72" s="98" t="str">
        <x:v>21:35</x:v>
      </x:c>
      <x:c r="W72" s="98" t="str">
        <x:v>丽江三义机场</x:v>
      </x:c>
      <x:c r="X72" s="140" t="n">
        <x:v>46301</x:v>
      </x:c>
      <x:c r="Y72" s="98" t="str">
        <x:v>01:10</x:v>
      </x:c>
      <x:c r="Z72" s="98" t="str">
        <x:v>上海浦东国际机场</x:v>
      </x:c>
      <x:c r="AA72" s="98" t="str">
        <x:v>春航</x:v>
      </x:c>
      <x:c r="AB72" s="98" t="n">
        <x:v>0</x:v>
      </x:c>
      <x:c r="AC72" s="98" t="str">
        <x:v>3 小时 35 分钟</x:v>
      </x:c>
      <x:c r="AD72" s="141" t="n">
        <x:v>4720</x:v>
      </x:c>
      <x:c r="AE72" s="98" t="str">
        <x:v>当前价格已变化，采用当前最低价返程</x:v>
      </x:c>
      <x:c r="AF72" s="100" t="str">
        <x:v>https://www.google.com/travel/flights/search?tfs=CBwQAhpLEgoyMDI2LTEwLTAxIiAKA1BWRxIKMjAyNi0xMC0wMRoDTEpHKgI5QzIENjczM2oMCAISCC9tLzA2d2pmcg0IAhIJL20vMDJmcTRrGikSCjIwMjYtMTAtMDVqDQgCEgkvbS8wMmZxNGtyDAgCEggvbS8wNndqZkABSAFwAYIBCwj___________8BmAEB&amp;tfu=CmxDalJJVEVWeVNtOXViVTh0ZVZGQlJYTjBlVUZDUnkwdExTMHRMUzB0TFMxelpXTmpPVUZCUVVGQlIzRlpSSFozVGpsU2FtdEJFZ1k1UXpZM016TWFDZ2p3SkJBQUdnTkRUbGs0SFhEVnBBUT0SAggAIgMKATA&amp;hl=zh-CN&amp;curr=CNY</x:v>
      </x:c>
    </x:row>
  </x:sheetData>
  <x:mergeCells>
    <x:mergeCell ref="A1:AF1"/>
    <x:mergeCell ref="A2:AF2"/>
    <x:mergeCell ref="A4:AF4"/>
    <x:mergeCell ref="A5:AF5"/>
  </x:mergeCells>
  <x:conditionalFormatting sqref="O8:O72">
    <x:cfRule type="cellIs" dxfId="0" priority="1" operator="lessThanOrEqual">
      <x:formula>3500</x:formula>
    </x:cfRule>
    <x:cfRule type="cellIs" dxfId="1" priority="2" operator="greaterThanOrEqual">
      <x:formula>4500</x:formula>
    </x:cfRule>
  </x:conditionalFormatting>
  <x:conditionalFormatting sqref="AE8:AE72">
    <x:cfRule type="containsText" dxfId="8" priority="3" operator="containsText" text="匹配原始"/>
    <x:cfRule type="containsText" dxfId="9" priority="4" operator="containsText" text="价格已变化"/>
    <x:cfRule type="containsText" dxfId="10" priority="5" operator="containsText" text="无价格"/>
    <x:cfRule type="containsText" dxfId="11" priority="6" operator="containsText" text="待核验"/>
    <x:cfRule type="containsText" dxfId="12" priority="7" operator="containsText" text="失败"/>
  </x:conditionalFormatting>
  <x:pageMargins left="0.7" right="0.7" top="0.75" bottom="0.75" header="0.3" footer="0.3"/>
  <x:tableParts count="2">
    <x:tablePart xmlns:r="http://schemas.openxmlformats.org/officeDocument/2006/relationships" r:id="Rc1383a89f3124a5a"/>
    <x:tablePart xmlns:r="http://schemas.openxmlformats.org/officeDocument/2006/relationships" r:id="Rc3904396b09a4d0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2" hidden="0" customWidth="1"/>
    <x:col min="4" max="4" width="8" hidden="0" customWidth="1"/>
    <x:col min="5" max="5" width="21" hidden="0" customWidth="1"/>
    <x:col min="6" max="6" width="10" hidden="0" customWidth="1"/>
    <x:col min="7" max="7" width="10" hidden="0" customWidth="1"/>
    <x:col min="8" max="8" width="24" hidden="0" customWidth="1"/>
    <x:col min="9" max="9" width="24" hidden="0" customWidth="1"/>
    <x:col min="10" max="10" width="8" hidden="0" customWidth="1"/>
    <x:col min="11" max="11" width="27" hidden="0" customWidth="1"/>
    <x:col min="12" max="12" width="14" hidden="0" customWidth="1"/>
    <x:col min="13" max="13" width="14" hidden="0" customWidth="1"/>
    <x:col min="14" max="14" width="14" hidden="0" customWidth="1"/>
    <x:col min="15" max="15" width="15" hidden="0" customWidth="1"/>
    <x:col min="16" max="16" width="13" hidden="0" customWidth="1"/>
    <x:col min="17" max="17" width="39" hidden="0" customWidth="1"/>
    <x:col min="18" max="18" width="42" hidden="0" customWidth="1"/>
    <x:col min="19" max="19" width="20" hidden="0" customWidth="1"/>
    <x:col min="20" max="20" width="58" hidden="0" customWidth="1"/>
    <x:col min="21" max="21" width="12" hidden="0" customWidth="1"/>
    <x:col min="22" max="22" width="10" hidden="0" customWidth="1"/>
    <x:col min="23" max="23" width="24" hidden="0" customWidth="1"/>
    <x:col min="24" max="24" width="12" hidden="0" customWidth="1"/>
    <x:col min="25" max="25" width="10" hidden="0" customWidth="1"/>
    <x:col min="26" max="26" width="24" hidden="0" customWidth="1"/>
    <x:col min="27" max="27" width="20" hidden="0" customWidth="1"/>
    <x:col min="28" max="28" width="9" hidden="0" customWidth="1"/>
    <x:col min="29" max="29" width="14" hidden="0" customWidth="1"/>
    <x:col min="30" max="30" width="14" hidden="0" customWidth="1"/>
    <x:col min="31" max="31" width="34" hidden="0" customWidth="1"/>
    <x:col min="32" max="32" width="58" hidden="0" customWidth="1"/>
  </x:cols>
  <x:sheetData>
    <x:row r="1" ht="32" customHeight="1">
      <x:c r="A1" s="101" t="str">
        <x:v>上海 → 丽江（LJG） TOP10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  <x:c r="AA1" s="101"/>
      <x:c r="AB1" s="101"/>
      <x:c r="AC1" s="101"/>
      <x:c r="AD1" s="101"/>
      <x:c r="AE1" s="101"/>
      <x:c r="AF1" s="101"/>
    </x:row>
    <x:row r="2" ht="28" customHeight="1">
      <x:c r="A2" s="104" t="str">
        <x:v>TOP10 从该路线全集合并后按“含20kg估算总价”升序选取；不是按单日最低价抽样。</x:v>
      </x:c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  <x:c r="AA2" s="104"/>
      <x:c r="AB2" s="104"/>
      <x:c r="AC2" s="104"/>
      <x:c r="AD2" s="104"/>
      <x:c r="AE2" s="104"/>
      <x:c r="AF2" s="104"/>
    </x:row>
    <x:row r="3">
      <x:c r="A3" s="68" t="str">
        <x:v>方案数</x:v>
      </x:c>
      <x:c r="B3" s="68" t="n">
        <x:f>COUNTA(A8:A17)</x:f>
        <x:v>10</x:v>
      </x:c>
      <x:c r="C3" s="68"/>
      <x:c r="D3" s="68" t="str">
        <x:v>覆盖日期组合</x:v>
      </x:c>
      <x:c r="E3" s="68" t="str">
        <x:v>14/14</x:v>
      </x:c>
      <x:c r="F3" s="68"/>
      <x:c r="G3" s="68" t="str">
        <x:v>最低含行李价</x:v>
      </x:c>
      <x:c r="H3" s="69" t="n">
        <x:f>MIN(O8:O17)</x:f>
        <x:v>1670</x:v>
      </x:c>
      <x:c r="I3" s="68"/>
      <x:c r="J3" s="68" t="str">
        <x:v>最高合格价</x:v>
      </x:c>
      <x:c r="K3" s="69" t="n">
        <x:f>MAX(O8:O17)</x:f>
        <x:v>2250</x:v>
      </x:c>
      <x:c r="L3" s="68"/>
      <x:c r="M3" s="68" t="str">
        <x:v>价格上限</x:v>
      </x:c>
      <x:c r="N3" s="69" t="n">
        <x:v>5000</x:v>
      </x:c>
      <x:c r="O3" s="68"/>
      <x:c r="P3" s="68" t="str">
        <x:v>搜索时间</x:v>
      </x:c>
      <x:c r="Q3" s="70" t="n">
        <x:v>46267.752321875</x:v>
      </x:c>
      <x:c r="R3" s="71"/>
      <x:c r="S3" s="71"/>
      <x:c r="T3" s="71"/>
    </x:row>
    <x:row r="4" ht="28" customHeight="1">
      <x:c r="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G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H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I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J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K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L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M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N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O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P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Q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R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S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T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U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V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W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X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Y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Z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</x:row>
    <x:row r="5" ht="34" customHeight="1">
      <x:c r="A5" s="110" t="str">
        <x:v>行李来源：春秋航空 https://www.ch.com/News/09931f418e51475d9bdee6c598343199.html；西部航空 https://www.westair.cn/stcontent/menupage/fe61b2ec-9adb-4033-9d00-3297748aa1cc/88f48e03-163c-4dd9-9229-8be70d1ba853/71901746-da70-4e43-84bc-f2d2c01278a3。传统航司按国内经济舱通常20kg处理，差异化航司采用保守预留，出票前仍须复核。</x:v>
      </x:c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  <x:c r="M5" s="110"/>
      <x:c r="N5" s="110"/>
      <x:c r="O5" s="110"/>
      <x:c r="P5" s="110"/>
      <x:c r="Q5" s="110"/>
      <x:c r="R5" s="110"/>
      <x:c r="S5" s="110"/>
      <x:c r="T5" s="110"/>
      <x:c r="U5" s="110"/>
      <x:c r="V5" s="110"/>
      <x:c r="W5" s="110"/>
      <x:c r="X5" s="110"/>
      <x:c r="Y5" s="110"/>
      <x:c r="Z5" s="110"/>
      <x:c r="AA5" s="110"/>
      <x:c r="AB5" s="110"/>
      <x:c r="AC5" s="110"/>
      <x:c r="AD5" s="110"/>
      <x:c r="AE5" s="110"/>
      <x:c r="AF5" s="110"/>
    </x:row>
    <x:row r="6">
      <x:c r="A6" s="71"/>
      <x:c r="B6" s="71"/>
      <x:c r="C6" s="71"/>
      <x:c r="D6" s="71"/>
      <x:c r="E6" s="71"/>
      <x:c r="F6" s="71"/>
      <x:c r="G6" s="71"/>
      <x:c r="H6" s="71"/>
      <x:c r="I6" s="71"/>
      <x:c r="J6" s="71"/>
      <x:c r="K6" s="71"/>
      <x:c r="L6" s="71"/>
      <x:c r="M6" s="71"/>
      <x:c r="N6" s="71"/>
      <x:c r="O6" s="71"/>
      <x:c r="P6" s="71"/>
      <x:c r="Q6" s="71"/>
      <x:c r="R6" s="71"/>
      <x:c r="S6" s="71"/>
      <x:c r="T6" s="71"/>
    </x:row>
    <x:row r="7" ht="34" customHeight="1">
      <x:c r="A7" s="74" t="str">
        <x:v>序号</x:v>
      </x:c>
      <x:c r="B7" s="75" t="str">
        <x:v>出发日期</x:v>
      </x:c>
      <x:c r="C7" s="75" t="str">
        <x:v>返程日期</x:v>
      </x:c>
      <x:c r="D7" s="75" t="str">
        <x:v>停留天数</x:v>
      </x:c>
      <x:c r="E7" s="75" t="str">
        <x:v>航空公司</x:v>
      </x:c>
      <x:c r="F7" s="75" t="str">
        <x:v>出发时间</x:v>
      </x:c>
      <x:c r="G7" s="75" t="str">
        <x:v>到达时间</x:v>
      </x:c>
      <x:c r="H7" s="75" t="str">
        <x:v>出发机场</x:v>
      </x:c>
      <x:c r="I7" s="75" t="str">
        <x:v>到达机场</x:v>
      </x:c>
      <x:c r="J7" s="75" t="str">
        <x:v>经停次数</x:v>
      </x:c>
      <x:c r="K7" s="75" t="str">
        <x:v>中转信息</x:v>
      </x:c>
      <x:c r="L7" s="75" t="str">
        <x:v>去程时长</x:v>
      </x:c>
      <x:c r="M7" s="75" t="str">
        <x:v>Google往返起价</x:v>
      </x:c>
      <x:c r="N7" s="75" t="str">
        <x:v>20kg行李估算</x:v>
      </x:c>
      <x:c r="O7" s="75" t="str">
        <x:v>含20kg估算总价</x:v>
      </x:c>
      <x:c r="P7" s="75" t="str">
        <x:v>严格低于¥5,000</x:v>
      </x:c>
      <x:c r="Q7" s="75" t="str">
        <x:v>行李口径</x:v>
      </x:c>
      <x:c r="R7" s="75" t="str">
        <x:v>返程说明</x:v>
      </x:c>
      <x:c r="S7" s="75" t="str">
        <x:v>搜索时间</x:v>
      </x:c>
      <x:c r="T7" s="76" t="str">
        <x:v>来源URL</x:v>
      </x:c>
      <x:c r="U7" s="124" t="str">
        <x:v>返程出发日期</x:v>
      </x:c>
      <x:c r="V7" s="125" t="str">
        <x:v>返程起飞时间</x:v>
      </x:c>
      <x:c r="W7" s="125" t="str">
        <x:v>返程出发机场</x:v>
      </x:c>
      <x:c r="X7" s="125" t="str">
        <x:v>返程到达日期</x:v>
      </x:c>
      <x:c r="Y7" s="125" t="str">
        <x:v>返程到达时间</x:v>
      </x:c>
      <x:c r="Z7" s="125" t="str">
        <x:v>返程到达机场</x:v>
      </x:c>
      <x:c r="AA7" s="125" t="str">
        <x:v>返程航空公司</x:v>
      </x:c>
      <x:c r="AB7" s="125" t="str">
        <x:v>返程经停次数</x:v>
      </x:c>
      <x:c r="AC7" s="125" t="str">
        <x:v>返程时长</x:v>
      </x:c>
      <x:c r="AD7" s="125" t="str">
        <x:v>当前返程总价</x:v>
      </x:c>
      <x:c r="AE7" s="125" t="str">
        <x:v>返程匹配状态</x:v>
      </x:c>
      <x:c r="AF7" s="126" t="str">
        <x:v>返程来源URL</x:v>
      </x:c>
    </x:row>
    <x:row r="8" ht="42" customHeight="1">
      <x:c r="A8" s="77" t="n">
        <x:f>ROW()-7</x:f>
        <x:v>1</x:v>
      </x:c>
      <x:c r="B8" s="78" t="n">
        <x:v>46300</x:v>
      </x:c>
      <x:c r="C8" s="78" t="n">
        <x:v>46304</x:v>
      </x:c>
      <x:c r="D8" s="79" t="n">
        <x:v>4</x:v>
      </x:c>
      <x:c r="E8" s="80" t="str">
        <x:v>春航</x:v>
      </x:c>
      <x:c r="F8" s="80" t="str">
        <x:v>08:35</x:v>
      </x:c>
      <x:c r="G8" s="80" t="str">
        <x:v>12:20</x:v>
      </x:c>
      <x:c r="H8" s="80" t="str">
        <x:v>上海浦东国际机场</x:v>
      </x:c>
      <x:c r="I8" s="80" t="str">
        <x:v>丽江三义机场</x:v>
      </x:c>
      <x:c r="J8" s="80" t="n">
        <x:v>0</x:v>
      </x:c>
      <x:c r="K8" s="80" t="str">
        <x:v>—</x:v>
      </x:c>
      <x:c r="L8" s="80" t="str">
        <x:v>3 小时 45 分钟</x:v>
      </x:c>
      <x:c r="M8" s="81" t="n">
        <x:v>1320</x:v>
      </x:c>
      <x:c r="N8" s="81" t="n">
        <x:v>350</x:v>
      </x:c>
      <x:c r="O8" s="81" t="n">
        <x:f>M8+N8</x:f>
        <x:v>1670</x:v>
      </x:c>
      <x:c r="P8" s="80" t="str">
        <x:f>IF(O8&lt;5000,"是","否")</x:f>
        <x:v>是</x:v>
      </x:c>
      <x:c r="Q8" s="82" t="str">
        <x:v>春秋低价票可能不含托运；按国内往返20kg保守预留¥350</x:v>
      </x:c>
      <x:c r="R8" s="82" t="str">
        <x:v>该去程对应的最低可订返程组合；具体返程航班需打开来源链接确认</x:v>
      </x:c>
      <x:c r="S8" s="83" t="n">
        <x:v>46267.74647805555</x:v>
      </x:c>
      <x:c r="T8" s="84" t="str">
        <x:v>https://www.google.com/travel/flights?hl=zh-CN&amp;curr=CNY&amp;q=Flights%20from%20Shanghai%20to%20Lijiang%20from%202026-10-05%20to%202026-10-09</x:v>
      </x:c>
      <x:c r="U8" s="133" t="n">
        <x:v>46304</x:v>
      </x:c>
      <x:c r="V8" s="82" t="str">
        <x:v>21:35</x:v>
      </x:c>
      <x:c r="W8" s="82" t="str">
        <x:v>丽江三义机场</x:v>
      </x:c>
      <x:c r="X8" s="134" t="n">
        <x:v>46305</x:v>
      </x:c>
      <x:c r="Y8" s="82" t="str">
        <x:v>01:10</x:v>
      </x:c>
      <x:c r="Z8" s="82" t="str">
        <x:v>上海浦东国际机场</x:v>
      </x:c>
      <x:c r="AA8" s="82" t="str">
        <x:v>春航</x:v>
      </x:c>
      <x:c r="AB8" s="82" t="n">
        <x:v>0</x:v>
      </x:c>
      <x:c r="AC8" s="82" t="str">
        <x:v>3 小时 35 分钟</x:v>
      </x:c>
      <x:c r="AD8" s="135" t="n">
        <x:v>1320</x:v>
      </x:c>
      <x:c r="AE8" s="82" t="str">
        <x:v>匹配原始往返起价</x:v>
      </x:c>
      <x:c r="AF8" s="84" t="str">
        <x:v>https://www.google.com/travel/flights/search?tfs=CBwQAhpLEgoyMDI2LTEwLTA1IiAKA1BWRxIKMjAyNi0xMC0wNRoDTEpHKgI5QzIENjczM2oMCAISCC9tLzA2d2pmcg0IAhIJL20vMDJmcTRrGikSCjIwMjYtMTAtMDlqDQgCEgkvbS8wMmZxNGtyDAgCEggvbS8wNndqZkABSAFwAYIBCwj___________8BmAEB&amp;tfu=CmxDalJJT1hWcVIzUnVRa3BOUjAxQlJVSmFOa0ZDUnkwdExTMHRMWE50ZEhneE5pMXVNa0ZCUVVGQlIzRlpSR0ozVHpCaVIwMUJFZ1k1UXpZM016TWFDZ2lvQ2hBQUdnTkRUbGs0SEhDNG1RRT0SAggAIgMKATA&amp;hl=zh-CN&amp;curr=CNY</x:v>
      </x:c>
    </x:row>
    <x:row r="9" ht="42" customHeight="1">
      <x:c r="A9" s="85" t="n">
        <x:f>ROW()-7</x:f>
        <x:v>2</x:v>
      </x:c>
      <x:c r="B9" s="86" t="n">
        <x:v>46300</x:v>
      </x:c>
      <x:c r="C9" s="86" t="n">
        <x:v>46304</x:v>
      </x:c>
      <x:c r="D9" s="87" t="n">
        <x:v>4</x:v>
      </x:c>
      <x:c r="E9" s="88" t="str">
        <x:v>春航</x:v>
      </x:c>
      <x:c r="F9" s="88" t="str">
        <x:v>13:45</x:v>
      </x:c>
      <x:c r="G9" s="88" t="str">
        <x:v>17:35</x:v>
      </x:c>
      <x:c r="H9" s="88" t="str">
        <x:v>上海浦东国际机场</x:v>
      </x:c>
      <x:c r="I9" s="88" t="str">
        <x:v>丽江三义机场</x:v>
      </x:c>
      <x:c r="J9" s="88" t="n">
        <x:v>0</x:v>
      </x:c>
      <x:c r="K9" s="88" t="str">
        <x:v>—</x:v>
      </x:c>
      <x:c r="L9" s="88" t="str">
        <x:v>3 小时 50 分钟</x:v>
      </x:c>
      <x:c r="M9" s="89" t="n">
        <x:v>1320</x:v>
      </x:c>
      <x:c r="N9" s="89" t="n">
        <x:v>350</x:v>
      </x:c>
      <x:c r="O9" s="89" t="n">
        <x:f>M9+N9</x:f>
        <x:v>1670</x:v>
      </x:c>
      <x:c r="P9" s="88" t="str">
        <x:f>IF(O9&lt;5000,"是","否")</x:f>
        <x:v>是</x:v>
      </x:c>
      <x:c r="Q9" s="90" t="str">
        <x:v>春秋低价票可能不含托运；按国内往返20kg保守预留¥350</x:v>
      </x:c>
      <x:c r="R9" s="90" t="str">
        <x:v>该去程对应的最低可订返程组合；具体返程航班需打开来源链接确认</x:v>
      </x:c>
      <x:c r="S9" s="91" t="n">
        <x:v>46267.74647805555</x:v>
      </x:c>
      <x:c r="T9" s="92" t="str">
        <x:v>https://www.google.com/travel/flights?hl=zh-CN&amp;curr=CNY&amp;q=Flights%20from%20Shanghai%20to%20Lijiang%20from%202026-10-05%20to%202026-10-09</x:v>
      </x:c>
      <x:c r="U9" s="136" t="n">
        <x:v>46304</x:v>
      </x:c>
      <x:c r="V9" s="90" t="str">
        <x:v>21:35</x:v>
      </x:c>
      <x:c r="W9" s="90" t="str">
        <x:v>丽江三义机场</x:v>
      </x:c>
      <x:c r="X9" s="137" t="n">
        <x:v>46305</x:v>
      </x:c>
      <x:c r="Y9" s="90" t="str">
        <x:v>01:10</x:v>
      </x:c>
      <x:c r="Z9" s="90" t="str">
        <x:v>上海浦东国际机场</x:v>
      </x:c>
      <x:c r="AA9" s="90" t="str">
        <x:v>春航</x:v>
      </x:c>
      <x:c r="AB9" s="90" t="n">
        <x:v>0</x:v>
      </x:c>
      <x:c r="AC9" s="90" t="str">
        <x:v>3 小时 35 分钟</x:v>
      </x:c>
      <x:c r="AD9" s="138" t="n">
        <x:v>1320</x:v>
      </x:c>
      <x:c r="AE9" s="90" t="str">
        <x:v>匹配原始往返起价</x:v>
      </x:c>
      <x:c r="AF9" s="92" t="str">
        <x:v>https://www.google.com/travel/flights/search?tfs=CBwQAhpLEgoyMDI2LTEwLTA1IiAKA1BWRxIKMjAyNi0xMC0wNRoDTEpHKgI5QzIENzExNWoMCAISCC9tLzA2d2pmcg0IAhIJL20vMDJmcTRrGikSCjIwMjYtMTAtMDlqDQgCEgkvbS8wMmZxNGtyDAgCEggvbS8wNndqZkABSAFwAYIBCwj___________8BmAEB&amp;tfu=CmxDalJJTFhrM016ZFNRVGg0ZUZGQlJYRnZiWGRDUnkwdExTMHRMUzF6WldKdU15MXVNa0ZCUVVGQlIzRlpSR0ozUzFWdFdXRkJFZ1k1UXpjeE1UVWFDZ2lvQ2hBQUdnTkRUbGs0SEhDNG1RRT0SAggAIgMKATA&amp;hl=zh-CN&amp;curr=CNY</x:v>
      </x:c>
    </x:row>
    <x:row r="10" ht="42" customHeight="1">
      <x:c r="A10" s="85" t="n">
        <x:f>ROW()-7</x:f>
        <x:v>3</x:v>
      </x:c>
      <x:c r="B10" s="86" t="n">
        <x:v>46300</x:v>
      </x:c>
      <x:c r="C10" s="86" t="n">
        <x:v>46304</x:v>
      </x:c>
      <x:c r="D10" s="87" t="n">
        <x:v>4</x:v>
      </x:c>
      <x:c r="E10" s="88" t="str">
        <x:v>春航</x:v>
      </x:c>
      <x:c r="F10" s="88" t="str">
        <x:v>17:05</x:v>
      </x:c>
      <x:c r="G10" s="88" t="str">
        <x:v>20:50</x:v>
      </x:c>
      <x:c r="H10" s="88" t="str">
        <x:v>上海浦东国际机场</x:v>
      </x:c>
      <x:c r="I10" s="88" t="str">
        <x:v>丽江三义机场</x:v>
      </x:c>
      <x:c r="J10" s="88" t="n">
        <x:v>0</x:v>
      </x:c>
      <x:c r="K10" s="88" t="str">
        <x:v>—</x:v>
      </x:c>
      <x:c r="L10" s="88" t="str">
        <x:v>3 小时 45 分钟</x:v>
      </x:c>
      <x:c r="M10" s="89" t="n">
        <x:v>1320</x:v>
      </x:c>
      <x:c r="N10" s="89" t="n">
        <x:v>350</x:v>
      </x:c>
      <x:c r="O10" s="89" t="n">
        <x:f>M10+N10</x:f>
        <x:v>1670</x:v>
      </x:c>
      <x:c r="P10" s="88" t="str">
        <x:f>IF(O10&lt;5000,"是","否")</x:f>
        <x:v>是</x:v>
      </x:c>
      <x:c r="Q10" s="90" t="str">
        <x:v>春秋低价票可能不含托运；按国内往返20kg保守预留¥350</x:v>
      </x:c>
      <x:c r="R10" s="90" t="str">
        <x:v>该去程对应的最低可订返程组合；具体返程航班需打开来源链接确认</x:v>
      </x:c>
      <x:c r="S10" s="91" t="n">
        <x:v>46267.74647805555</x:v>
      </x:c>
      <x:c r="T10" s="92" t="str">
        <x:v>https://www.google.com/travel/flights?hl=zh-CN&amp;curr=CNY&amp;q=Flights%20from%20Shanghai%20to%20Lijiang%20from%202026-10-05%20to%202026-10-09</x:v>
      </x:c>
      <x:c r="U10" s="136" t="n">
        <x:v>46304</x:v>
      </x:c>
      <x:c r="V10" s="90" t="str">
        <x:v>21:35</x:v>
      </x:c>
      <x:c r="W10" s="90" t="str">
        <x:v>丽江三义机场</x:v>
      </x:c>
      <x:c r="X10" s="137" t="n">
        <x:v>46305</x:v>
      </x:c>
      <x:c r="Y10" s="90" t="str">
        <x:v>01:10</x:v>
      </x:c>
      <x:c r="Z10" s="90" t="str">
        <x:v>上海浦东国际机场</x:v>
      </x:c>
      <x:c r="AA10" s="90" t="str">
        <x:v>春航</x:v>
      </x:c>
      <x:c r="AB10" s="90" t="n">
        <x:v>0</x:v>
      </x:c>
      <x:c r="AC10" s="90" t="str">
        <x:v>3 小时 35 分钟</x:v>
      </x:c>
      <x:c r="AD10" s="138" t="n">
        <x:v>1320</x:v>
      </x:c>
      <x:c r="AE10" s="90" t="str">
        <x:v>匹配原始往返起价</x:v>
      </x:c>
      <x:c r="AF10" s="92" t="str">
        <x:v>https://www.google.com/travel/flights/search?tfs=CBwQAhpLEgoyMDI2LTEwLTA1IiAKA1BWRxIKMjAyNi0xMC0wNRoDTEpHKgI5QzIENjYxN2oMCAISCC9tLzA2d2pmcg0IAhIJL20vMDJmcTRrGikSCjIwMjYtMTAtMDlqDQgCEgkvbS8wMmZxNGtyDAgCEggvbS8wNndqZkABSAFwAYIBCwj___________8BmAEB&amp;tfu=CmxDalJJYTBKcFduQjNPRU4zUjFGQlJYVm5XbEZDUnkwdExTMHRMWE5sY0dReE1TMXVNVUZCUVVGQlIzRlpSR0ozVGs5d1RHdEJFZ1k1UXpZMk1UY2FDZ2lvQ2hBQUdnTkRUbGs0SEhDNG1RRT0SAggAIgMKATA&amp;hl=zh-CN&amp;curr=CNY</x:v>
      </x:c>
    </x:row>
    <x:row r="11" ht="42" customHeight="1">
      <x:c r="A11" s="85" t="n">
        <x:f>ROW()-7</x:f>
        <x:v>4</x:v>
      </x:c>
      <x:c r="B11" s="86" t="n">
        <x:v>46299</x:v>
      </x:c>
      <x:c r="C11" s="86" t="n">
        <x:v>46304</x:v>
      </x:c>
      <x:c r="D11" s="87" t="n">
        <x:v>5</x:v>
      </x:c>
      <x:c r="E11" s="88" t="str">
        <x:v>春航</x:v>
      </x:c>
      <x:c r="F11" s="88" t="str">
        <x:v>17:05</x:v>
      </x:c>
      <x:c r="G11" s="88" t="str">
        <x:v>20:50</x:v>
      </x:c>
      <x:c r="H11" s="88" t="str">
        <x:v>上海浦东国际机场</x:v>
      </x:c>
      <x:c r="I11" s="88" t="str">
        <x:v>丽江三义机场</x:v>
      </x:c>
      <x:c r="J11" s="88" t="n">
        <x:v>0</x:v>
      </x:c>
      <x:c r="K11" s="88" t="str">
        <x:v>—</x:v>
      </x:c>
      <x:c r="L11" s="88" t="str">
        <x:v>3 小时 45 分钟</x:v>
      </x:c>
      <x:c r="M11" s="89" t="n">
        <x:v>1370</x:v>
      </x:c>
      <x:c r="N11" s="89" t="n">
        <x:v>350</x:v>
      </x:c>
      <x:c r="O11" s="89" t="n">
        <x:f>M11+N11</x:f>
        <x:v>1720</x:v>
      </x:c>
      <x:c r="P11" s="88" t="str">
        <x:f>IF(O11&lt;5000,"是","否")</x:f>
        <x:v>是</x:v>
      </x:c>
      <x:c r="Q11" s="90" t="str">
        <x:v>春秋低价票可能不含托运；按国内往返20kg保守预留¥350</x:v>
      </x:c>
      <x:c r="R11" s="90" t="str">
        <x:v>该去程对应的最低可订返程组合；具体返程航班需打开来源链接确认</x:v>
      </x:c>
      <x:c r="S11" s="91" t="n">
        <x:v>46267.74647805555</x:v>
      </x:c>
      <x:c r="T11" s="92" t="str">
        <x:v>https://www.google.com/travel/flights?hl=zh-CN&amp;curr=CNY&amp;q=Flights%20from%20Shanghai%20to%20Lijiang%20from%202026-10-04%20to%202026-10-09</x:v>
      </x:c>
      <x:c r="U11" s="136" t="n">
        <x:v>46304</x:v>
      </x:c>
      <x:c r="V11" s="90" t="str">
        <x:v>21:35</x:v>
      </x:c>
      <x:c r="W11" s="90" t="str">
        <x:v>丽江三义机场</x:v>
      </x:c>
      <x:c r="X11" s="137" t="n">
        <x:v>46305</x:v>
      </x:c>
      <x:c r="Y11" s="90" t="str">
        <x:v>01:10</x:v>
      </x:c>
      <x:c r="Z11" s="90" t="str">
        <x:v>上海浦东国际机场</x:v>
      </x:c>
      <x:c r="AA11" s="90" t="str">
        <x:v>春航</x:v>
      </x:c>
      <x:c r="AB11" s="90" t="n">
        <x:v>0</x:v>
      </x:c>
      <x:c r="AC11" s="90" t="str">
        <x:v>3 小时 35 分钟</x:v>
      </x:c>
      <x:c r="AD11" s="138" t="n">
        <x:v>1370</x:v>
      </x:c>
      <x:c r="AE11" s="90" t="str">
        <x:v>匹配原始往返起价</x:v>
      </x:c>
      <x:c r="AF11" s="92" t="str">
        <x:v>https://www.google.com/travel/flights/search?tfs=CBwQAhpLEgoyMDI2LTEwLTA0IiAKA1BWRxIKMjAyNi0xMC0wNBoDTEpHKgI5QzIENjYxN2oMCAISCC9tLzA2d2pmcg0IAhIJL20vMDJmcTRrGikSCjIwMjYtMTAtMDlqDQgCEgkvbS8wMmZxNGtyDAgCEggvbS8wNndqZkABSAFwAYIBCwj___________8BmAEB&amp;tfu=CmxDalJJZEU5VWJEQndRbVpTWVhkQlIyVjFZM2RDUnkwdExTMHRMUzB0YzJWaVozSXpNMEZCUVVGQlIzRlpSR0ozU3psU05XRkJFZ1k1UXpZMk1UY2FDZ2phQ2hBQUdnTkRUbGs0SEhDZ253RT0SAggAIgMKATA&amp;hl=zh-CN&amp;curr=CNY</x:v>
      </x:c>
    </x:row>
    <x:row r="12" ht="42" customHeight="1">
      <x:c r="A12" s="85" t="n">
        <x:f>ROW()-7</x:f>
        <x:v>5</x:v>
      </x:c>
      <x:c r="B12" s="86" t="n">
        <x:v>46299</x:v>
      </x:c>
      <x:c r="C12" s="86" t="n">
        <x:v>46304</x:v>
      </x:c>
      <x:c r="D12" s="87" t="n">
        <x:v>5</x:v>
      </x:c>
      <x:c r="E12" s="88" t="str">
        <x:v>春航</x:v>
      </x:c>
      <x:c r="F12" s="88" t="str">
        <x:v>13:45</x:v>
      </x:c>
      <x:c r="G12" s="88" t="str">
        <x:v>17:35</x:v>
      </x:c>
      <x:c r="H12" s="88" t="str">
        <x:v>上海浦东国际机场</x:v>
      </x:c>
      <x:c r="I12" s="88" t="str">
        <x:v>丽江三义机场</x:v>
      </x:c>
      <x:c r="J12" s="88" t="n">
        <x:v>0</x:v>
      </x:c>
      <x:c r="K12" s="88" t="str">
        <x:v>—</x:v>
      </x:c>
      <x:c r="L12" s="88" t="str">
        <x:v>3 小时 50 分钟</x:v>
      </x:c>
      <x:c r="M12" s="89" t="n">
        <x:v>1460</x:v>
      </x:c>
      <x:c r="N12" s="89" t="n">
        <x:v>350</x:v>
      </x:c>
      <x:c r="O12" s="89" t="n">
        <x:f>M12+N12</x:f>
        <x:v>1810</x:v>
      </x:c>
      <x:c r="P12" s="88" t="str">
        <x:f>IF(O12&lt;5000,"是","否")</x:f>
        <x:v>是</x:v>
      </x:c>
      <x:c r="Q12" s="90" t="str">
        <x:v>春秋低价票可能不含托运；按国内往返20kg保守预留¥350</x:v>
      </x:c>
      <x:c r="R12" s="90" t="str">
        <x:v>该去程对应的最低可订返程组合；具体返程航班需打开来源链接确认</x:v>
      </x:c>
      <x:c r="S12" s="91" t="n">
        <x:v>46267.74647805555</x:v>
      </x:c>
      <x:c r="T12" s="92" t="str">
        <x:v>https://www.google.com/travel/flights?hl=zh-CN&amp;curr=CNY&amp;q=Flights%20from%20Shanghai%20to%20Lijiang%20from%202026-10-04%20to%202026-10-09</x:v>
      </x:c>
      <x:c r="U12" s="136" t="n">
        <x:v>46304</x:v>
      </x:c>
      <x:c r="V12" s="90" t="str">
        <x:v>21:35</x:v>
      </x:c>
      <x:c r="W12" s="90" t="str">
        <x:v>丽江三义机场</x:v>
      </x:c>
      <x:c r="X12" s="137" t="n">
        <x:v>46305</x:v>
      </x:c>
      <x:c r="Y12" s="90" t="str">
        <x:v>01:10</x:v>
      </x:c>
      <x:c r="Z12" s="90" t="str">
        <x:v>上海浦东国际机场</x:v>
      </x:c>
      <x:c r="AA12" s="90" t="str">
        <x:v>春航</x:v>
      </x:c>
      <x:c r="AB12" s="90" t="n">
        <x:v>0</x:v>
      </x:c>
      <x:c r="AC12" s="90" t="str">
        <x:v>3 小时 35 分钟</x:v>
      </x:c>
      <x:c r="AD12" s="138" t="n">
        <x:v>1460</x:v>
      </x:c>
      <x:c r="AE12" s="90" t="str">
        <x:v>匹配原始往返起价</x:v>
      </x:c>
      <x:c r="AF12" s="92" t="str">
        <x:v>https://www.google.com/travel/flights/search?tfs=CBwQAhpLEgoyMDI2LTEwLTA0IiAKA1BWRxIKMjAyNi0xMC0wNBoDTEpHKgI5QzIENzExNWoMCAISCC9tLzA2d2pmcg0IAhIJL20vMDJmcTRrGikSCjIwMjYtMTAtMDlqDQgCEgkvbS8wMmZxNGtyDAgCEggvbS8wNndqZkABSAFwAYIBCwj___________8BmAEB&amp;tfu=CmxDalJJYnpSMU9IcEhkWFk1WVc5QlJucHVSbmRDUnkwdExTMHRMUzB0TFhObFlteG9OMEZCUVVGQlIzRlpSR05aVDB4TVh6SkJFZ1k1UXpjeE1UVWFDZ2kwQ3hBQUdnTkRUbGs0SEhEYnFRRT0SAggAIgMKATA&amp;hl=zh-CN&amp;curr=CNY</x:v>
      </x:c>
    </x:row>
    <x:row r="13" ht="42" customHeight="1">
      <x:c r="A13" s="85" t="n">
        <x:f>ROW()-7</x:f>
        <x:v>6</x:v>
      </x:c>
      <x:c r="B13" s="86" t="n">
        <x:v>46299</x:v>
      </x:c>
      <x:c r="C13" s="86" t="n">
        <x:v>46304</x:v>
      </x:c>
      <x:c r="D13" s="87" t="n">
        <x:v>5</x:v>
      </x:c>
      <x:c r="E13" s="88" t="str">
        <x:v>春航</x:v>
      </x:c>
      <x:c r="F13" s="88" t="str">
        <x:v>08:35</x:v>
      </x:c>
      <x:c r="G13" s="88" t="str">
        <x:v>12:20</x:v>
      </x:c>
      <x:c r="H13" s="88" t="str">
        <x:v>上海浦东国际机场</x:v>
      </x:c>
      <x:c r="I13" s="88" t="str">
        <x:v>丽江三义机场</x:v>
      </x:c>
      <x:c r="J13" s="88" t="n">
        <x:v>0</x:v>
      </x:c>
      <x:c r="K13" s="88" t="str">
        <x:v>—</x:v>
      </x:c>
      <x:c r="L13" s="88" t="str">
        <x:v>3 小时 45 分钟</x:v>
      </x:c>
      <x:c r="M13" s="89" t="n">
        <x:v>1560</x:v>
      </x:c>
      <x:c r="N13" s="89" t="n">
        <x:v>350</x:v>
      </x:c>
      <x:c r="O13" s="89" t="n">
        <x:f>M13+N13</x:f>
        <x:v>1910</x:v>
      </x:c>
      <x:c r="P13" s="88" t="str">
        <x:f>IF(O13&lt;5000,"是","否")</x:f>
        <x:v>是</x:v>
      </x:c>
      <x:c r="Q13" s="90" t="str">
        <x:v>春秋低价票可能不含托运；按国内往返20kg保守预留¥350</x:v>
      </x:c>
      <x:c r="R13" s="90" t="str">
        <x:v>该去程对应的最低可订返程组合；具体返程航班需打开来源链接确认</x:v>
      </x:c>
      <x:c r="S13" s="91" t="n">
        <x:v>46267.74647805555</x:v>
      </x:c>
      <x:c r="T13" s="92" t="str">
        <x:v>https://www.google.com/travel/flights?hl=zh-CN&amp;curr=CNY&amp;q=Flights%20from%20Shanghai%20to%20Lijiang%20from%202026-10-04%20to%202026-10-09</x:v>
      </x:c>
      <x:c r="U13" s="136" t="n">
        <x:v>46304</x:v>
      </x:c>
      <x:c r="V13" s="90" t="str">
        <x:v>21:35</x:v>
      </x:c>
      <x:c r="W13" s="90" t="str">
        <x:v>丽江三义机场</x:v>
      </x:c>
      <x:c r="X13" s="137" t="n">
        <x:v>46305</x:v>
      </x:c>
      <x:c r="Y13" s="90" t="str">
        <x:v>01:10</x:v>
      </x:c>
      <x:c r="Z13" s="90" t="str">
        <x:v>上海浦东国际机场</x:v>
      </x:c>
      <x:c r="AA13" s="90" t="str">
        <x:v>春航</x:v>
      </x:c>
      <x:c r="AB13" s="90" t="n">
        <x:v>0</x:v>
      </x:c>
      <x:c r="AC13" s="90" t="str">
        <x:v>3 小时 35 分钟</x:v>
      </x:c>
      <x:c r="AD13" s="138" t="n">
        <x:v>1560</x:v>
      </x:c>
      <x:c r="AE13" s="90" t="str">
        <x:v>匹配原始往返起价</x:v>
      </x:c>
      <x:c r="AF13" s="92" t="str">
        <x:v>https://www.google.com/travel/flights/search?tfs=CBwQAhpLEgoyMDI2LTEwLTA0IiAKA1BWRxIKMjAyNi0xMC0wNBoDTEpHKgI5QzIENjczM2oMCAISCC9tLzA2d2pmcg0IAhIJL20vMDJmcTRrGikSCjIwMjYtMTAtMDlqDQgCEgkvbS8wMmZxNGtyDAgCEggvbS8wNndqZkABSAFwAYIBCwj___________8BmAEB&amp;tfu=CmxDalJJVTFCd2FUaFNTbWhxVTBsQlJWbFRaMmRDUnkwdExTMHRMUzB0YzIxck1TMXVNVUZCUVVGQlIzRlpSR05qUVhkb1pVRkJFZ1k1UXpZM016TWFDZ2lZREJBQUdnTkRUbGs0SEhDcnRRRT0SAggAIgMKATA&amp;hl=zh-CN&amp;curr=CNY</x:v>
      </x:c>
    </x:row>
    <x:row r="14" ht="42" customHeight="1">
      <x:c r="A14" s="85" t="n">
        <x:f>ROW()-7</x:f>
        <x:v>7</x:v>
      </x:c>
      <x:c r="B14" s="86" t="n">
        <x:v>46298</x:v>
      </x:c>
      <x:c r="C14" s="86" t="n">
        <x:v>46304</x:v>
      </x:c>
      <x:c r="D14" s="87" t="n">
        <x:v>6</x:v>
      </x:c>
      <x:c r="E14" s="88" t="str">
        <x:v>春航</x:v>
      </x:c>
      <x:c r="F14" s="88" t="str">
        <x:v>17:05</x:v>
      </x:c>
      <x:c r="G14" s="88" t="str">
        <x:v>20:50</x:v>
      </x:c>
      <x:c r="H14" s="88" t="str">
        <x:v>上海浦东国际机场</x:v>
      </x:c>
      <x:c r="I14" s="88" t="str">
        <x:v>丽江三义机场</x:v>
      </x:c>
      <x:c r="J14" s="88" t="n">
        <x:v>0</x:v>
      </x:c>
      <x:c r="K14" s="88" t="str">
        <x:v>—</x:v>
      </x:c>
      <x:c r="L14" s="88" t="str">
        <x:v>3 小时 45 分钟</x:v>
      </x:c>
      <x:c r="M14" s="89" t="n">
        <x:v>1690</x:v>
      </x:c>
      <x:c r="N14" s="89" t="n">
        <x:v>350</x:v>
      </x:c>
      <x:c r="O14" s="89" t="n">
        <x:f>M14+N14</x:f>
        <x:v>2040</x:v>
      </x:c>
      <x:c r="P14" s="88" t="str">
        <x:f>IF(O14&lt;5000,"是","否")</x:f>
        <x:v>是</x:v>
      </x:c>
      <x:c r="Q14" s="90" t="str">
        <x:v>春秋低价票可能不含托运；按国内往返20kg保守预留¥350</x:v>
      </x:c>
      <x:c r="R14" s="90" t="str">
        <x:v>该去程对应的最低可订返程组合；具体返程航班需打开来源链接确认</x:v>
      </x:c>
      <x:c r="S14" s="91" t="n">
        <x:v>46267.74647805555</x:v>
      </x:c>
      <x:c r="T14" s="92" t="str">
        <x:v>https://www.google.com/travel/flights?hl=zh-CN&amp;curr=CNY&amp;q=Flights%20from%20Shanghai%20to%20Lijiang%20from%202026-10-03%20to%202026-10-09</x:v>
      </x:c>
      <x:c r="U14" s="136" t="n">
        <x:v>46304</x:v>
      </x:c>
      <x:c r="V14" s="90" t="str">
        <x:v>18:20</x:v>
      </x:c>
      <x:c r="W14" s="90" t="str">
        <x:v>丽江三义机场</x:v>
      </x:c>
      <x:c r="X14" s="137" t="n">
        <x:v>46304</x:v>
      </x:c>
      <x:c r="Y14" s="90" t="str">
        <x:v>21:50</x:v>
      </x:c>
      <x:c r="Z14" s="90" t="str">
        <x:v>上海浦东国际机场</x:v>
      </x:c>
      <x:c r="AA14" s="90" t="str">
        <x:v>春航</x:v>
      </x:c>
      <x:c r="AB14" s="90" t="n">
        <x:v>0</x:v>
      </x:c>
      <x:c r="AC14" s="90" t="str">
        <x:v>3 小时 30 分钟</x:v>
      </x:c>
      <x:c r="AD14" s="138" t="n">
        <x:v>1840</x:v>
      </x:c>
      <x:c r="AE14" s="90" t="str">
        <x:v>当前价格已变化，采用当前最低价返程</x:v>
      </x:c>
      <x:c r="AF14" s="92" t="str">
        <x:v>https://www.google.com/travel/flights/search?tfs=CBwQAhpLEgoyMDI2LTEwLTAzIiAKA1BWRxIKMjAyNi0xMC0wMxoDTEpHKgI5QzIENjYxN2oMCAISCC9tLzA2d2pmcg0IAhIJL20vMDJmcTRrGikSCjIwMjYtMTAtMDlqDQgCEgkvbS8wMmZxNGtyDAgCEggvbS8wNndqZkABSAFwAYIBCwj___________8BmAEB&amp;tfu=CmxDalJJTjI1cVh5MTFabXBWVjI5QlJXMDBUV2RDUnkwdExTMHRMWE5sZEc0eU5pMXVNVUZCUVVGQlIzRlpSR05aVEZVd0xXbEJFZ1k1UXpZMk1UY2FDZ2l3RGhBQUdnTkRUbGs0SEhEeDFRRT0SAggAIgMKATA&amp;hl=zh-CN&amp;curr=CNY</x:v>
      </x:c>
    </x:row>
    <x:row r="15" ht="42" customHeight="1">
      <x:c r="A15" s="85" t="n">
        <x:f>ROW()-7</x:f>
        <x:v>8</x:v>
      </x:c>
      <x:c r="B15" s="86" t="n">
        <x:v>46299</x:v>
      </x:c>
      <x:c r="C15" s="86" t="n">
        <x:v>46303</x:v>
      </x:c>
      <x:c r="D15" s="87" t="n">
        <x:v>4</x:v>
      </x:c>
      <x:c r="E15" s="88" t="str">
        <x:v>春航</x:v>
      </x:c>
      <x:c r="F15" s="88" t="str">
        <x:v>17:05</x:v>
      </x:c>
      <x:c r="G15" s="88" t="str">
        <x:v>20:50</x:v>
      </x:c>
      <x:c r="H15" s="88" t="str">
        <x:v>上海浦东国际机场</x:v>
      </x:c>
      <x:c r="I15" s="88" t="str">
        <x:v>丽江三义机场</x:v>
      </x:c>
      <x:c r="J15" s="88" t="n">
        <x:v>0</x:v>
      </x:c>
      <x:c r="K15" s="88" t="str">
        <x:v>—</x:v>
      </x:c>
      <x:c r="L15" s="88" t="str">
        <x:v>3 小时 45 分钟</x:v>
      </x:c>
      <x:c r="M15" s="89" t="n">
        <x:v>1810</x:v>
      </x:c>
      <x:c r="N15" s="89" t="n">
        <x:v>350</x:v>
      </x:c>
      <x:c r="O15" s="89" t="n">
        <x:f>M15+N15</x:f>
        <x:v>2160</x:v>
      </x:c>
      <x:c r="P15" s="88" t="str">
        <x:f>IF(O15&lt;5000,"是","否")</x:f>
        <x:v>是</x:v>
      </x:c>
      <x:c r="Q15" s="90" t="str">
        <x:v>春秋低价票可能不含托运；按国内往返20kg保守预留¥350</x:v>
      </x:c>
      <x:c r="R15" s="90" t="str">
        <x:v>该去程对应的最低可订返程组合；具体返程航班需打开来源链接确认</x:v>
      </x:c>
      <x:c r="S15" s="91" t="n">
        <x:v>46267.74647805555</x:v>
      </x:c>
      <x:c r="T15" s="92" t="str">
        <x:v>https://www.google.com/travel/flights?hl=zh-CN&amp;curr=CNY&amp;q=Flights%20from%20Shanghai%20to%20Lijiang%20from%202026-10-04%20to%202026-10-08</x:v>
      </x:c>
      <x:c r="U15" s="136" t="n">
        <x:v>46303</x:v>
      </x:c>
      <x:c r="V15" s="90" t="str">
        <x:v>21:35</x:v>
      </x:c>
      <x:c r="W15" s="90" t="str">
        <x:v>丽江三义机场</x:v>
      </x:c>
      <x:c r="X15" s="137" t="n">
        <x:v>46304</x:v>
      </x:c>
      <x:c r="Y15" s="90" t="str">
        <x:v>01:10</x:v>
      </x:c>
      <x:c r="Z15" s="90" t="str">
        <x:v>上海浦东国际机场</x:v>
      </x:c>
      <x:c r="AA15" s="90" t="str">
        <x:v>春航</x:v>
      </x:c>
      <x:c r="AB15" s="90" t="n">
        <x:v>0</x:v>
      </x:c>
      <x:c r="AC15" s="90" t="str">
        <x:v>3 小时 35 分钟</x:v>
      </x:c>
      <x:c r="AD15" s="138" t="n">
        <x:v>1810</x:v>
      </x:c>
      <x:c r="AE15" s="90" t="str">
        <x:v>匹配原始往返起价</x:v>
      </x:c>
      <x:c r="AF15" s="92" t="str">
        <x:v>https://www.google.com/travel/flights/search?tfs=CBwQAhpLEgoyMDI2LTEwLTA0IiAKA1BWRxIKMjAyNi0xMC0wNBoDTEpHKgI5QzIENjYxN2oMCAISCC9tLzA2d2pmcg0IAhIJL20vMDJmcTRrGikSCjIwMjYtMTAtMDhqDQgCEgkvbS8wMmZxNGtyDAgCEggvbS8wNndqZkABSAFwAYIBCwj___________8BmAEB&amp;tfu=CmxDalJJVGxGb1IzSTNiM1ZaTUVsQlJXeENkbEZDUnkwdExTMHRMUzB0TFhObGRYVXlNa0ZCUVVGQlIzRlpSR05aVFhKRGNsZEJFZ1k1UXpZMk1UY2FDZ2lTRGhBQUdnTkRUbGs0SEhDejBnRT0SAggAIgMKATA&amp;hl=zh-CN&amp;curr=CNY</x:v>
      </x:c>
    </x:row>
    <x:row r="16" ht="42" customHeight="1">
      <x:c r="A16" s="85" t="n">
        <x:f>ROW()-7</x:f>
        <x:v>9</x:v>
      </x:c>
      <x:c r="B16" s="86" t="n">
        <x:v>46299</x:v>
      </x:c>
      <x:c r="C16" s="86" t="n">
        <x:v>46304</x:v>
      </x:c>
      <x:c r="D16" s="87" t="n">
        <x:v>5</x:v>
      </x:c>
      <x:c r="E16" s="88" t="str">
        <x:v>吉祥航空</x:v>
      </x:c>
      <x:c r="F16" s="88" t="str">
        <x:v>14:55</x:v>
      </x:c>
      <x:c r="G16" s="88" t="str">
        <x:v>18:40</x:v>
      </x:c>
      <x:c r="H16" s="88" t="str">
        <x:v>上海浦东国际机场</x:v>
      </x:c>
      <x:c r="I16" s="88" t="str">
        <x:v>丽江三义机场</x:v>
      </x:c>
      <x:c r="J16" s="88" t="n">
        <x:v>0</x:v>
      </x:c>
      <x:c r="K16" s="88" t="str">
        <x:v>—</x:v>
      </x:c>
      <x:c r="L16" s="88" t="str">
        <x:v>3 小时 45 分钟</x:v>
      </x:c>
      <x:c r="M16" s="89" t="n">
        <x:v>2241</x:v>
      </x:c>
      <x:c r="N16" s="89" t="n">
        <x:v>0</x:v>
      </x:c>
      <x:c r="O16" s="89" t="n">
        <x:f>M16+N16</x:f>
        <x:v>2241</x:v>
      </x:c>
      <x:c r="P16" s="88" t="str">
        <x:f>IF(O16&lt;5000,"是","否")</x:f>
        <x:v>是</x:v>
      </x:c>
      <x:c r="Q16" s="90" t="str">
        <x:v>国内经济舱通常含20kg；出票前须按实际票价等级复核</x:v>
      </x:c>
      <x:c r="R16" s="90" t="str">
        <x:v>该去程对应的最低可订返程组合；具体返程航班需打开来源链接确认</x:v>
      </x:c>
      <x:c r="S16" s="91" t="n">
        <x:v>46267.74647805555</x:v>
      </x:c>
      <x:c r="T16" s="92" t="str">
        <x:v>https://www.google.com/travel/flights?hl=zh-CN&amp;curr=CNY&amp;q=Flights%20from%20Shanghai%20to%20Lijiang%20from%202026-10-04%20to%202026-10-09</x:v>
      </x:c>
      <x:c r="U16" s="136" t="n">
        <x:v>46304</x:v>
      </x:c>
      <x:c r="V16" s="90" t="str">
        <x:v>12:25</x:v>
      </x:c>
      <x:c r="W16" s="90" t="str">
        <x:v>丽江三义机场</x:v>
      </x:c>
      <x:c r="X16" s="137" t="n">
        <x:v>46304</x:v>
      </x:c>
      <x:c r="Y16" s="90" t="str">
        <x:v>15:55</x:v>
      </x:c>
      <x:c r="Z16" s="90" t="str">
        <x:v>上海浦东国际机场</x:v>
      </x:c>
      <x:c r="AA16" s="90" t="str">
        <x:v>吉祥航空</x:v>
      </x:c>
      <x:c r="AB16" s="90" t="n">
        <x:v>0</x:v>
      </x:c>
      <x:c r="AC16" s="90" t="str">
        <x:v>3 小时 30 分钟</x:v>
      </x:c>
      <x:c r="AD16" s="138"/>
      <x:c r="AE16" s="90" t="str">
        <x:v>当前返程列表无价格，采用排序第一条</x:v>
      </x:c>
      <x:c r="AF16" s="92" t="str">
        <x:v>https://www.google.com/travel/flights/search?tfs=CBwQAhpLEgoyMDI2LTEwLTA0IiAKA1BWRxIKMjAyNi0xMC0wNBoDTEpHKgJITzIEMTIyOWoMCAISCC9tLzA2d2pmcg0IAhIJL20vMDJmcTRrGikSCjIwMjYtMTAtMDlqDQgCEgkvbS8wMmZxNGtyDAgCEggvbS8wNndqZkABSAFwAYIBCwj___________8BmAEB&amp;tfu=ClhDalJJY2pKUlRVOUphVk5QUmxsQlJIZFpPVkZDUnkwdExTMHRMUzB0TFMxemJXRXhNMEZCUVVGQlIzRlpSR1JGUW5neVRXRkJFZ1pJVHpFeU1qazRIQT09EgIIACIA&amp;hl=zh-CN&amp;curr=CNY</x:v>
      </x:c>
    </x:row>
    <x:row r="17" ht="42" customHeight="1">
      <x:c r="A17" s="93" t="n">
        <x:f>ROW()-7</x:f>
        <x:v>10</x:v>
      </x:c>
      <x:c r="B17" s="94" t="n">
        <x:v>46299</x:v>
      </x:c>
      <x:c r="C17" s="94" t="n">
        <x:v>46303</x:v>
      </x:c>
      <x:c r="D17" s="95" t="n">
        <x:v>4</x:v>
      </x:c>
      <x:c r="E17" s="96" t="str">
        <x:v>春航</x:v>
      </x:c>
      <x:c r="F17" s="96" t="str">
        <x:v>13:45</x:v>
      </x:c>
      <x:c r="G17" s="96" t="str">
        <x:v>17:35</x:v>
      </x:c>
      <x:c r="H17" s="96" t="str">
        <x:v>上海浦东国际机场</x:v>
      </x:c>
      <x:c r="I17" s="96" t="str">
        <x:v>丽江三义机场</x:v>
      </x:c>
      <x:c r="J17" s="96" t="n">
        <x:v>0</x:v>
      </x:c>
      <x:c r="K17" s="96" t="str">
        <x:v>—</x:v>
      </x:c>
      <x:c r="L17" s="96" t="str">
        <x:v>3 小时 50 分钟</x:v>
      </x:c>
      <x:c r="M17" s="97" t="n">
        <x:v>1900</x:v>
      </x:c>
      <x:c r="N17" s="97" t="n">
        <x:v>350</x:v>
      </x:c>
      <x:c r="O17" s="97" t="n">
        <x:f>M17+N17</x:f>
        <x:v>2250</x:v>
      </x:c>
      <x:c r="P17" s="96" t="str">
        <x:f>IF(O17&lt;5000,"是","否")</x:f>
        <x:v>是</x:v>
      </x:c>
      <x:c r="Q17" s="98" t="str">
        <x:v>春秋低价票可能不含托运；按国内往返20kg保守预留¥350</x:v>
      </x:c>
      <x:c r="R17" s="98" t="str">
        <x:v>该去程对应的最低可订返程组合；具体返程航班需打开来源链接确认</x:v>
      </x:c>
      <x:c r="S17" s="99" t="n">
        <x:v>46267.74647805555</x:v>
      </x:c>
      <x:c r="T17" s="100" t="str">
        <x:v>https://www.google.com/travel/flights?hl=zh-CN&amp;curr=CNY&amp;q=Flights%20from%20Shanghai%20to%20Lijiang%20from%202026-10-04%20to%202026-10-08</x:v>
      </x:c>
      <x:c r="U17" s="139" t="n">
        <x:v>46303</x:v>
      </x:c>
      <x:c r="V17" s="98" t="str">
        <x:v>21:35</x:v>
      </x:c>
      <x:c r="W17" s="98" t="str">
        <x:v>丽江三义机场</x:v>
      </x:c>
      <x:c r="X17" s="140" t="n">
        <x:v>46304</x:v>
      </x:c>
      <x:c r="Y17" s="98" t="str">
        <x:v>01:10</x:v>
      </x:c>
      <x:c r="Z17" s="98" t="str">
        <x:v>上海浦东国际机场</x:v>
      </x:c>
      <x:c r="AA17" s="98" t="str">
        <x:v>春航</x:v>
      </x:c>
      <x:c r="AB17" s="98" t="n">
        <x:v>0</x:v>
      </x:c>
      <x:c r="AC17" s="98" t="str">
        <x:v>3 小时 35 分钟</x:v>
      </x:c>
      <x:c r="AD17" s="141" t="n">
        <x:v>1900</x:v>
      </x:c>
      <x:c r="AE17" s="98" t="str">
        <x:v>匹配原始往返起价</x:v>
      </x:c>
      <x:c r="AF17" s="100" t="str">
        <x:v>https://www.google.com/travel/flights/search?tfs=CBwQAhpLEgoyMDI2LTEwLTA0IiAKA1BWRxIKMjAyNi0xMC0wNBoDTEpHKgI5QzIENzExNWoMCAISCC9tLzA2d2pmcg0IAhIJL20vMDJmcTRrGikSCjIwMjYtMTAtMDhqDQgCEgkvbS8wMmZxNGtyDAgCEggvbS8wNndqZkABSAFwAYIBCwj___________8BmAEB&amp;tfu=CmxDalJJVGxGb1IzSTNiM1ZaTUVsQlJXeEdhVkZDUnkwdExTMHRMUzB0TFhObGRYVXlNa0ZCUVVGQlIzRlpSR1JCVG5SQ1NtOUJFZ1k1UXpjeE1UVWFDZ2pzRGhBQUdnTkRUbGs0SEhEdTNBRT0SAggAIgMKATA&amp;hl=zh-CN&amp;curr=CNY</x:v>
      </x:c>
    </x:row>
  </x:sheetData>
  <x:mergeCells>
    <x:mergeCell ref="A1:AF1"/>
    <x:mergeCell ref="A2:AF2"/>
    <x:mergeCell ref="A4:AF4"/>
    <x:mergeCell ref="A5:AF5"/>
  </x:mergeCells>
  <x:conditionalFormatting sqref="O8:O17">
    <x:cfRule type="cellIs" dxfId="2" priority="1" operator="lessThanOrEqual">
      <x:formula>3500</x:formula>
    </x:cfRule>
    <x:cfRule type="cellIs" dxfId="3" priority="2" operator="greaterThanOrEqual">
      <x:formula>4500</x:formula>
    </x:cfRule>
  </x:conditionalFormatting>
  <x:conditionalFormatting sqref="AE8:AE17">
    <x:cfRule type="containsText" dxfId="13" priority="3" operator="containsText" text="匹配原始"/>
    <x:cfRule type="containsText" dxfId="14" priority="4" operator="containsText" text="价格已变化"/>
    <x:cfRule type="containsText" dxfId="15" priority="5" operator="containsText" text="无价格"/>
    <x:cfRule type="containsText" dxfId="16" priority="6" operator="containsText" text="待核验"/>
    <x:cfRule type="containsText" dxfId="17" priority="7" operator="containsText" text="失败"/>
  </x:conditionalFormatting>
  <x:pageMargins left="0.7" right="0.7" top="0.75" bottom="0.75" header="0.3" footer="0.3"/>
  <x:tableParts count="2">
    <x:tablePart xmlns:r="http://schemas.openxmlformats.org/officeDocument/2006/relationships" r:id="R1bb7115bd9f94545"/>
    <x:tablePart xmlns:r="http://schemas.openxmlformats.org/officeDocument/2006/relationships" r:id="R730e703d32f743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2" hidden="0" customWidth="1"/>
    <x:col min="4" max="4" width="8" hidden="0" customWidth="1"/>
    <x:col min="5" max="5" width="21" hidden="0" customWidth="1"/>
    <x:col min="6" max="6" width="10" hidden="0" customWidth="1"/>
    <x:col min="7" max="7" width="10" hidden="0" customWidth="1"/>
    <x:col min="8" max="8" width="24" hidden="0" customWidth="1"/>
    <x:col min="9" max="9" width="24" hidden="0" customWidth="1"/>
    <x:col min="10" max="10" width="8" hidden="0" customWidth="1"/>
    <x:col min="11" max="11" width="27" hidden="0" customWidth="1"/>
    <x:col min="12" max="12" width="14" hidden="0" customWidth="1"/>
    <x:col min="13" max="13" width="14" hidden="0" customWidth="1"/>
    <x:col min="14" max="14" width="14" hidden="0" customWidth="1"/>
    <x:col min="15" max="15" width="15" hidden="0" customWidth="1"/>
    <x:col min="16" max="16" width="13" hidden="0" customWidth="1"/>
    <x:col min="17" max="17" width="39" hidden="0" customWidth="1"/>
    <x:col min="18" max="18" width="42" hidden="0" customWidth="1"/>
    <x:col min="19" max="19" width="20" hidden="0" customWidth="1"/>
    <x:col min="20" max="20" width="58" hidden="0" customWidth="1"/>
    <x:col min="21" max="21" width="12" hidden="0" customWidth="1"/>
    <x:col min="22" max="22" width="10" hidden="0" customWidth="1"/>
    <x:col min="23" max="23" width="24" hidden="0" customWidth="1"/>
    <x:col min="24" max="24" width="12" hidden="0" customWidth="1"/>
    <x:col min="25" max="25" width="10" hidden="0" customWidth="1"/>
    <x:col min="26" max="26" width="24" hidden="0" customWidth="1"/>
    <x:col min="27" max="27" width="20" hidden="0" customWidth="1"/>
    <x:col min="28" max="28" width="9" hidden="0" customWidth="1"/>
    <x:col min="29" max="29" width="14" hidden="0" customWidth="1"/>
    <x:col min="30" max="30" width="14" hidden="0" customWidth="1"/>
    <x:col min="31" max="31" width="34" hidden="0" customWidth="1"/>
    <x:col min="32" max="32" width="58" hidden="0" customWidth="1"/>
  </x:cols>
  <x:sheetData>
    <x:row r="1" ht="32" customHeight="1">
      <x:c r="A1" s="101" t="str">
        <x:v>重庆 → 丽江（LJG） 全集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  <x:c r="AA1" s="101"/>
      <x:c r="AB1" s="101"/>
      <x:c r="AC1" s="101"/>
      <x:c r="AD1" s="101"/>
      <x:c r="AE1" s="101"/>
      <x:c r="AF1" s="101"/>
    </x:row>
    <x:row r="2" ht="28" customHeight="1">
      <x:c r="A2" s="104" t="str">
        <x:v>全集 = 2026-10-01 至 10-09、停留4–7天的14个日期组合中，所有当前可见且含20kg估算后严格低于¥5,000的唯一方案。</x:v>
      </x:c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  <x:c r="AA2" s="104"/>
      <x:c r="AB2" s="104"/>
      <x:c r="AC2" s="104"/>
      <x:c r="AD2" s="104"/>
      <x:c r="AE2" s="104"/>
      <x:c r="AF2" s="104"/>
    </x:row>
    <x:row r="3">
      <x:c r="A3" s="68" t="str">
        <x:v>方案数</x:v>
      </x:c>
      <x:c r="B3" s="68" t="n">
        <x:f>COUNTA(A8:A31)</x:f>
        <x:v>24</x:v>
      </x:c>
      <x:c r="C3" s="68"/>
      <x:c r="D3" s="68" t="str">
        <x:v>覆盖日期组合</x:v>
      </x:c>
      <x:c r="E3" s="68" t="str">
        <x:v>9/14</x:v>
      </x:c>
      <x:c r="F3" s="68"/>
      <x:c r="G3" s="68" t="str">
        <x:v>最低含行李价</x:v>
      </x:c>
      <x:c r="H3" s="69" t="n">
        <x:f>MIN(O8:O31)</x:f>
        <x:v>1277</x:v>
      </x:c>
      <x:c r="I3" s="68"/>
      <x:c r="J3" s="68" t="str">
        <x:v>最高合格价</x:v>
      </x:c>
      <x:c r="K3" s="69" t="n">
        <x:f>MAX(O8:O31)</x:f>
        <x:v>2902</x:v>
      </x:c>
      <x:c r="L3" s="68"/>
      <x:c r="M3" s="68" t="str">
        <x:v>价格上限</x:v>
      </x:c>
      <x:c r="N3" s="69" t="n">
        <x:v>5000</x:v>
      </x:c>
      <x:c r="O3" s="68"/>
      <x:c r="P3" s="68" t="str">
        <x:v>搜索时间</x:v>
      </x:c>
      <x:c r="Q3" s="70" t="n">
        <x:v>46267.752321875</x:v>
      </x:c>
      <x:c r="R3" s="71"/>
      <x:c r="S3" s="71"/>
      <x:c r="T3" s="71"/>
    </x:row>
    <x:row r="4" ht="28" customHeight="1">
      <x:c r="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G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H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I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J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K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L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M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N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O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P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Q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R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S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T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U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V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W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X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Y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Z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</x:row>
    <x:row r="5" ht="34" customHeight="1">
      <x:c r="A5" s="110" t="str">
        <x:v>行李来源：春秋航空 https://www.ch.com/News/09931f418e51475d9bdee6c598343199.html；西部航空 https://www.westair.cn/stcontent/menupage/fe61b2ec-9adb-4033-9d00-3297748aa1cc/88f48e03-163c-4dd9-9229-8be70d1ba853/71901746-da70-4e43-84bc-f2d2c01278a3。传统航司按国内经济舱通常20kg处理，差异化航司采用保守预留，出票前仍须复核。</x:v>
      </x:c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  <x:c r="M5" s="110"/>
      <x:c r="N5" s="110"/>
      <x:c r="O5" s="110"/>
      <x:c r="P5" s="110"/>
      <x:c r="Q5" s="110"/>
      <x:c r="R5" s="110"/>
      <x:c r="S5" s="110"/>
      <x:c r="T5" s="110"/>
      <x:c r="U5" s="110"/>
      <x:c r="V5" s="110"/>
      <x:c r="W5" s="110"/>
      <x:c r="X5" s="110"/>
      <x:c r="Y5" s="110"/>
      <x:c r="Z5" s="110"/>
      <x:c r="AA5" s="110"/>
      <x:c r="AB5" s="110"/>
      <x:c r="AC5" s="110"/>
      <x:c r="AD5" s="110"/>
      <x:c r="AE5" s="110"/>
      <x:c r="AF5" s="110"/>
    </x:row>
    <x:row r="6">
      <x:c r="A6" s="71"/>
      <x:c r="B6" s="71"/>
      <x:c r="C6" s="71"/>
      <x:c r="D6" s="71"/>
      <x:c r="E6" s="71"/>
      <x:c r="F6" s="71"/>
      <x:c r="G6" s="71"/>
      <x:c r="H6" s="71"/>
      <x:c r="I6" s="71"/>
      <x:c r="J6" s="71"/>
      <x:c r="K6" s="71"/>
      <x:c r="L6" s="71"/>
      <x:c r="M6" s="71"/>
      <x:c r="N6" s="71"/>
      <x:c r="O6" s="71"/>
      <x:c r="P6" s="71"/>
      <x:c r="Q6" s="71"/>
      <x:c r="R6" s="71"/>
      <x:c r="S6" s="71"/>
      <x:c r="T6" s="71"/>
    </x:row>
    <x:row r="7" ht="34" customHeight="1">
      <x:c r="A7" s="74" t="str">
        <x:v>序号</x:v>
      </x:c>
      <x:c r="B7" s="75" t="str">
        <x:v>出发日期</x:v>
      </x:c>
      <x:c r="C7" s="75" t="str">
        <x:v>返程日期</x:v>
      </x:c>
      <x:c r="D7" s="75" t="str">
        <x:v>停留天数</x:v>
      </x:c>
      <x:c r="E7" s="75" t="str">
        <x:v>航空公司</x:v>
      </x:c>
      <x:c r="F7" s="75" t="str">
        <x:v>出发时间</x:v>
      </x:c>
      <x:c r="G7" s="75" t="str">
        <x:v>到达时间</x:v>
      </x:c>
      <x:c r="H7" s="75" t="str">
        <x:v>出发机场</x:v>
      </x:c>
      <x:c r="I7" s="75" t="str">
        <x:v>到达机场</x:v>
      </x:c>
      <x:c r="J7" s="75" t="str">
        <x:v>经停次数</x:v>
      </x:c>
      <x:c r="K7" s="75" t="str">
        <x:v>中转信息</x:v>
      </x:c>
      <x:c r="L7" s="75" t="str">
        <x:v>去程时长</x:v>
      </x:c>
      <x:c r="M7" s="75" t="str">
        <x:v>Google往返起价</x:v>
      </x:c>
      <x:c r="N7" s="75" t="str">
        <x:v>20kg行李估算</x:v>
      </x:c>
      <x:c r="O7" s="75" t="str">
        <x:v>含20kg估算总价</x:v>
      </x:c>
      <x:c r="P7" s="75" t="str">
        <x:v>严格低于¥5,000</x:v>
      </x:c>
      <x:c r="Q7" s="75" t="str">
        <x:v>行李口径</x:v>
      </x:c>
      <x:c r="R7" s="75" t="str">
        <x:v>返程说明</x:v>
      </x:c>
      <x:c r="S7" s="75" t="str">
        <x:v>搜索时间</x:v>
      </x:c>
      <x:c r="T7" s="76" t="str">
        <x:v>来源URL</x:v>
      </x:c>
      <x:c r="U7" s="124" t="str">
        <x:v>返程出发日期</x:v>
      </x:c>
      <x:c r="V7" s="125" t="str">
        <x:v>返程起飞时间</x:v>
      </x:c>
      <x:c r="W7" s="125" t="str">
        <x:v>返程出发机场</x:v>
      </x:c>
      <x:c r="X7" s="125" t="str">
        <x:v>返程到达日期</x:v>
      </x:c>
      <x:c r="Y7" s="125" t="str">
        <x:v>返程到达时间</x:v>
      </x:c>
      <x:c r="Z7" s="125" t="str">
        <x:v>返程到达机场</x:v>
      </x:c>
      <x:c r="AA7" s="125" t="str">
        <x:v>返程航空公司</x:v>
      </x:c>
      <x:c r="AB7" s="125" t="str">
        <x:v>返程经停次数</x:v>
      </x:c>
      <x:c r="AC7" s="125" t="str">
        <x:v>返程时长</x:v>
      </x:c>
      <x:c r="AD7" s="125" t="str">
        <x:v>当前返程总价</x:v>
      </x:c>
      <x:c r="AE7" s="125" t="str">
        <x:v>返程匹配状态</x:v>
      </x:c>
      <x:c r="AF7" s="126" t="str">
        <x:v>返程来源URL</x:v>
      </x:c>
    </x:row>
    <x:row r="8" ht="42" customHeight="1">
      <x:c r="A8" s="77" t="n">
        <x:f>ROW()-7</x:f>
        <x:v>1</x:v>
      </x:c>
      <x:c r="B8" s="78" t="n">
        <x:v>46300</x:v>
      </x:c>
      <x:c r="C8" s="78" t="n">
        <x:v>46304</x:v>
      </x:c>
      <x:c r="D8" s="79" t="n">
        <x:v>4</x:v>
      </x:c>
      <x:c r="E8" s="80" t="str">
        <x:v>川航</x:v>
      </x:c>
      <x:c r="F8" s="80" t="str">
        <x:v>21:20</x:v>
      </x:c>
      <x:c r="G8" s="80" t="str">
        <x:v>22:50</x:v>
      </x:c>
      <x:c r="H8" s="80" t="str">
        <x:v>重庆江北国际机场</x:v>
      </x:c>
      <x:c r="I8" s="80" t="str">
        <x:v>丽江三义机场</x:v>
      </x:c>
      <x:c r="J8" s="80" t="n">
        <x:v>0</x:v>
      </x:c>
      <x:c r="K8" s="80" t="str">
        <x:v>—</x:v>
      </x:c>
      <x:c r="L8" s="80" t="str">
        <x:v>1 小时 30 分钟</x:v>
      </x:c>
      <x:c r="M8" s="81" t="n">
        <x:v>1277</x:v>
      </x:c>
      <x:c r="N8" s="81" t="n">
        <x:v>0</x:v>
      </x:c>
      <x:c r="O8" s="81" t="n">
        <x:f>M8+N8</x:f>
        <x:v>1277</x:v>
      </x:c>
      <x:c r="P8" s="80" t="str">
        <x:f>IF(O8&lt;5000,"是","否")</x:f>
        <x:v>是</x:v>
      </x:c>
      <x:c r="Q8" s="82" t="str">
        <x:v>国内经济舱通常含20kg；出票前须按实际票价等级复核</x:v>
      </x:c>
      <x:c r="R8" s="82" t="str">
        <x:v>该去程对应的最低可订返程组合；具体返程航班需打开来源链接确认</x:v>
      </x:c>
      <x:c r="S8" s="83" t="n">
        <x:v>46267.746869710645</x:v>
      </x:c>
      <x:c r="T8" s="84" t="str">
        <x:v>https://www.google.com/travel/flights?hl=zh-CN&amp;curr=CNY&amp;q=Flights%20from%20Chongqing%20to%20Lijiang%20from%202026-10-05%20to%202026-10-09</x:v>
      </x:c>
      <x:c r="U8" s="133" t="n">
        <x:v>46304</x:v>
      </x:c>
      <x:c r="V8" s="82" t="str">
        <x:v>22:15</x:v>
      </x:c>
      <x:c r="W8" s="82" t="str">
        <x:v>丽江三义机场</x:v>
      </x:c>
      <x:c r="X8" s="134" t="n">
        <x:v>46304</x:v>
      </x:c>
      <x:c r="Y8" s="82" t="str">
        <x:v>23:50</x:v>
      </x:c>
      <x:c r="Z8" s="82" t="str">
        <x:v>重庆江北国际机场</x:v>
      </x:c>
      <x:c r="AA8" s="82" t="str">
        <x:v>中国西部航空</x:v>
      </x:c>
      <x:c r="AB8" s="82" t="n">
        <x:v>0</x:v>
      </x:c>
      <x:c r="AC8" s="82" t="str">
        <x:v>1 小时 35 分钟</x:v>
      </x:c>
      <x:c r="AD8" s="135"/>
      <x:c r="AE8" s="82" t="str">
        <x:v>当前返程列表无价格，采用排序第一条</x:v>
      </x:c>
      <x:c r="AF8" s="84" t="str">
        <x:v>https://www.google.com/travel/flights/search?tfs=CBwQAhpMEgoyMDI2LTEwLTA1IiAKA0NLRxIKMjAyNi0xMC0wNRoDTEpHKgJQTjIENjIzOWoNCAISCS9tLzAxNzIzNnINCAISCS9tLzAyZnE0axoqEgoyMDI2LTEwLTA5ag0IAhIJL20vMDJmcTRrcg0IAhIJL20vMDE3MjM2QAFIAXABggELCP___________wGYAQE&amp;tfu=ClhDalJJTFdzelFXRXhNM05FT1ZGQlJWUk5ObEZDUnkwdExTMHRMUzB0TFMxelpXRmtOa0ZCUVVGQlIzRlpSRmMwU1dRNVVHVkJFZ1pRVGpZeU16azRIQT09EgIIACIDCgEw&amp;hl=zh-CN&amp;curr=CNY</x:v>
      </x:c>
    </x:row>
    <x:row r="9" ht="42" customHeight="1">
      <x:c r="A9" s="85" t="n">
        <x:f>ROW()-7</x:f>
        <x:v>2</x:v>
      </x:c>
      <x:c r="B9" s="86" t="n">
        <x:v>46298</x:v>
      </x:c>
      <x:c r="C9" s="86" t="n">
        <x:v>46304</x:v>
      </x:c>
      <x:c r="D9" s="87" t="n">
        <x:v>6</x:v>
      </x:c>
      <x:c r="E9" s="88" t="str">
        <x:v>川航</x:v>
      </x:c>
      <x:c r="F9" s="88" t="str">
        <x:v>21:20</x:v>
      </x:c>
      <x:c r="G9" s="88" t="str">
        <x:v>22:50</x:v>
      </x:c>
      <x:c r="H9" s="88" t="str">
        <x:v>重庆江北国际机场</x:v>
      </x:c>
      <x:c r="I9" s="88" t="str">
        <x:v>丽江三义机场</x:v>
      </x:c>
      <x:c r="J9" s="88" t="n">
        <x:v>0</x:v>
      </x:c>
      <x:c r="K9" s="88" t="str">
        <x:v>—</x:v>
      </x:c>
      <x:c r="L9" s="88" t="str">
        <x:v>1 小时 30 分钟</x:v>
      </x:c>
      <x:c r="M9" s="89" t="n">
        <x:v>1446</x:v>
      </x:c>
      <x:c r="N9" s="89" t="n">
        <x:v>0</x:v>
      </x:c>
      <x:c r="O9" s="89" t="n">
        <x:f>M9+N9</x:f>
        <x:v>1446</x:v>
      </x:c>
      <x:c r="P9" s="88" t="str">
        <x:f>IF(O9&lt;5000,"是","否")</x:f>
        <x:v>是</x:v>
      </x:c>
      <x:c r="Q9" s="90" t="str">
        <x:v>国内经济舱通常含20kg；出票前须按实际票价等级复核</x:v>
      </x:c>
      <x:c r="R9" s="90" t="str">
        <x:v>该去程对应的最低可订返程组合；具体返程航班需打开来源链接确认</x:v>
      </x:c>
      <x:c r="S9" s="91" t="n">
        <x:v>46267.746869710645</x:v>
      </x:c>
      <x:c r="T9" s="92" t="str">
        <x:v>https://www.google.com/travel/flights?hl=zh-CN&amp;curr=CNY&amp;q=Flights%20from%20Chongqing%20to%20Lijiang%20from%202026-10-03%20to%202026-10-09</x:v>
      </x:c>
      <x:c r="U9" s="136" t="n">
        <x:v>46304</x:v>
      </x:c>
      <x:c r="V9" s="90" t="str">
        <x:v>10:55</x:v>
      </x:c>
      <x:c r="W9" s="90" t="str">
        <x:v>丽江三义机场</x:v>
      </x:c>
      <x:c r="X9" s="137" t="n">
        <x:v>46304</x:v>
      </x:c>
      <x:c r="Y9" s="90" t="str">
        <x:v>17:55</x:v>
      </x:c>
      <x:c r="Z9" s="90" t="str">
        <x:v>重庆江北国际机场</x:v>
      </x:c>
      <x:c r="AA9" s="90" t="str">
        <x:v>成都航空和川航</x:v>
      </x:c>
      <x:c r="AB9" s="90" t="n">
        <x:v>1</x:v>
      </x:c>
      <x:c r="AC9" s="90" t="str">
        <x:v>7 小时</x:v>
      </x:c>
      <x:c r="AD9" s="138"/>
      <x:c r="AE9" s="90" t="str">
        <x:v>当前返程列表无价格，采用排序第一条</x:v>
      </x:c>
      <x:c r="AF9" s="92" t="str">
        <x:v>https://www.google.com/travel/flights/search?tfs=CBwQAhpMEgoyMDI2LTEwLTAzIiAKA0NLRxIKMjAyNi0xMC0wMxoDTEpHKgIzVTIEODAxMWoNCAISCS9tLzAxNzIzNnINCAISCS9tLzAyZnE0axoqEgoyMDI2LTEwLTA5ag0IAhIJL20vMDJmcTRrcg0IAhIJL20vMDE3MjM2QAFIAXABggELCP___________wGYAQE&amp;tfu=ClhDalJJYlhCeE56bGlkak5LY1dkQlJEVkdPWGRDUnkwdExTMHRMUzF6YlhWNE9DMXVNa0ZCUVVGQlIzRlpSRmhCUzI4dGJFdEJFZ1l6VlRnd01URTRIQT09EgYIACACKAEiAwoBMA&amp;hl=zh-CN&amp;curr=CNY</x:v>
      </x:c>
    </x:row>
    <x:row r="10" ht="42" customHeight="1">
      <x:c r="A10" s="85" t="n">
        <x:f>ROW()-7</x:f>
        <x:v>3</x:v>
      </x:c>
      <x:c r="B10" s="86" t="n">
        <x:v>46298</x:v>
      </x:c>
      <x:c r="C10" s="86" t="n">
        <x:v>46304</x:v>
      </x:c>
      <x:c r="D10" s="87" t="n">
        <x:v>6</x:v>
      </x:c>
      <x:c r="E10" s="88" t="str">
        <x:v>中国西部航空</x:v>
      </x:c>
      <x:c r="F10" s="88" t="str">
        <x:v>19:45</x:v>
      </x:c>
      <x:c r="G10" s="88" t="str">
        <x:v>21:30</x:v>
      </x:c>
      <x:c r="H10" s="88" t="str">
        <x:v>重庆江北国际机场</x:v>
      </x:c>
      <x:c r="I10" s="88" t="str">
        <x:v>丽江三义机场</x:v>
      </x:c>
      <x:c r="J10" s="88" t="n">
        <x:v>0</x:v>
      </x:c>
      <x:c r="K10" s="88" t="str">
        <x:v>—</x:v>
      </x:c>
      <x:c r="L10" s="88" t="str">
        <x:v>1 小时 45 分钟</x:v>
      </x:c>
      <x:c r="M10" s="89" t="n">
        <x:v>1263</x:v>
      </x:c>
      <x:c r="N10" s="89" t="n">
        <x:v>800</x:v>
      </x:c>
      <x:c r="O10" s="89" t="n">
        <x:f>M10+N10</x:f>
        <x:v>2063</x:v>
      </x:c>
      <x:c r="P10" s="88" t="str">
        <x:f>IF(O10&lt;5000,"是","否")</x:f>
        <x:v>是</x:v>
      </x:c>
      <x:c r="Q10" s="90" t="str">
        <x:v>差异化行李票价等级未知；按每程20kg最多¥400、往返保守预留¥800</x:v>
      </x:c>
      <x:c r="R10" s="90" t="str">
        <x:v>该去程对应的最低可订返程组合；具体返程航班需打开来源链接确认</x:v>
      </x:c>
      <x:c r="S10" s="91" t="n">
        <x:v>46267.746869710645</x:v>
      </x:c>
      <x:c r="T10" s="92" t="str">
        <x:v>https://www.google.com/travel/flights?hl=zh-CN&amp;curr=CNY&amp;q=Flights%20from%20Chongqing%20to%20Lijiang%20from%202026-10-03%20to%202026-10-09</x:v>
      </x:c>
      <x:c r="U10" s="136" t="n">
        <x:v>46304</x:v>
      </x:c>
      <x:c r="V10" s="90" t="str">
        <x:v>22:15</x:v>
      </x:c>
      <x:c r="W10" s="90" t="str">
        <x:v>丽江三义机场</x:v>
      </x:c>
      <x:c r="X10" s="137" t="n">
        <x:v>46304</x:v>
      </x:c>
      <x:c r="Y10" s="90" t="str">
        <x:v>23:50</x:v>
      </x:c>
      <x:c r="Z10" s="90" t="str">
        <x:v>重庆江北国际机场</x:v>
      </x:c>
      <x:c r="AA10" s="90" t="str">
        <x:v>中国西部航空</x:v>
      </x:c>
      <x:c r="AB10" s="90" t="n">
        <x:v>0</x:v>
      </x:c>
      <x:c r="AC10" s="90" t="str">
        <x:v>1 小时 35 分钟</x:v>
      </x:c>
      <x:c r="AD10" s="138" t="n">
        <x:v>1322</x:v>
      </x:c>
      <x:c r="AE10" s="90" t="str">
        <x:v>当前价格已变化，采用当前最低价返程</x:v>
      </x:c>
      <x:c r="AF10" s="92" t="str">
        <x:v>https://www.google.com/travel/flights/search?tfs=CBwQAhpMEgoyMDI2LTEwLTAzIiAKA0NLRxIKMjAyNi0xMC0wMxoDTEpHKgJQTjIENjI2MWoNCAISCS9tLzAxNzIzNnINCAISCS9tLzAyZnE0axoqEgoyMDI2LTEwLTA5ag0IAhIJL20vMDJmcTRrcg0IAhIJL20vMDE3MjM2QAFIAXABggELCP___________wGYAQE&amp;tfu=CmxDalJJU0dwUmRETldNWGhSUVd0QlJsbFhVR2RDUnkwdExTMHRMUzB0TFhOdFltUjFPVUZCUVVGQlIzRlpSRmMwU2s5WVRrRkJFZ1pRVGpZeU5qRWFDZ2lxQ2hBQUdnTkRUbGs0SEhEV21RRT0SAggAIgA&amp;hl=zh-CN&amp;curr=CNY</x:v>
      </x:c>
    </x:row>
    <x:row r="11" ht="42" customHeight="1">
      <x:c r="A11" s="85" t="n">
        <x:f>ROW()-7</x:f>
        <x:v>4</x:v>
      </x:c>
      <x:c r="B11" s="86" t="n">
        <x:v>46298</x:v>
      </x:c>
      <x:c r="C11" s="86" t="n">
        <x:v>46303</x:v>
      </x:c>
      <x:c r="D11" s="87" t="n">
        <x:v>5</x:v>
      </x:c>
      <x:c r="E11" s="88" t="str">
        <x:v>川航</x:v>
      </x:c>
      <x:c r="F11" s="88" t="str">
        <x:v>21:20</x:v>
      </x:c>
      <x:c r="G11" s="88" t="str">
        <x:v>22:50</x:v>
      </x:c>
      <x:c r="H11" s="88" t="str">
        <x:v>重庆江北国际机场</x:v>
      </x:c>
      <x:c r="I11" s="88" t="str">
        <x:v>丽江三义机场</x:v>
      </x:c>
      <x:c r="J11" s="88" t="n">
        <x:v>0</x:v>
      </x:c>
      <x:c r="K11" s="88" t="str">
        <x:v>—</x:v>
      </x:c>
      <x:c r="L11" s="88" t="str">
        <x:v>1 小时 30 分钟</x:v>
      </x:c>
      <x:c r="M11" s="89" t="n">
        <x:v>2070</x:v>
      </x:c>
      <x:c r="N11" s="89" t="n">
        <x:v>0</x:v>
      </x:c>
      <x:c r="O11" s="89" t="n">
        <x:f>M11+N11</x:f>
        <x:v>2070</x:v>
      </x:c>
      <x:c r="P11" s="88" t="str">
        <x:f>IF(O11&lt;5000,"是","否")</x:f>
        <x:v>是</x:v>
      </x:c>
      <x:c r="Q11" s="90" t="str">
        <x:v>国内经济舱通常含20kg；出票前须按实际票价等级复核</x:v>
      </x:c>
      <x:c r="R11" s="90" t="str">
        <x:v>该去程对应的最低可订返程组合；具体返程航班需打开来源链接确认</x:v>
      </x:c>
      <x:c r="S11" s="91" t="n">
        <x:v>46267.746869710645</x:v>
      </x:c>
      <x:c r="T11" s="92" t="str">
        <x:v>https://www.google.com/travel/flights?hl=zh-CN&amp;curr=CNY&amp;q=Flights%20from%20Chongqing%20to%20Lijiang%20from%202026-10-03%20to%202026-10-08</x:v>
      </x:c>
      <x:c r="U11" s="136" t="n">
        <x:v>46303</x:v>
      </x:c>
      <x:c r="V11" s="90" t="str">
        <x:v>12:00</x:v>
      </x:c>
      <x:c r="W11" s="90" t="str">
        <x:v>丽江三义机场</x:v>
      </x:c>
      <x:c r="X11" s="137" t="n">
        <x:v>46303</x:v>
      </x:c>
      <x:c r="Y11" s="90" t="str">
        <x:v>19:20</x:v>
      </x:c>
      <x:c r="Z11" s="90" t="str">
        <x:v>重庆江北国际机场</x:v>
      </x:c>
      <x:c r="AA11" s="90" t="str">
        <x:v>吉祥航空</x:v>
      </x:c>
      <x:c r="AB11" s="90" t="n">
        <x:v>1</x:v>
      </x:c>
      <x:c r="AC11" s="90" t="str">
        <x:v>7 小时 20 分钟</x:v>
      </x:c>
      <x:c r="AD11" s="138"/>
      <x:c r="AE11" s="90" t="str">
        <x:v>当前返程列表无价格，采用排序第一条</x:v>
      </x:c>
      <x:c r="AF11" s="92" t="str">
        <x:v>https://www.google.com/travel/flights/search?tfs=CBwQAhpMEgoyMDI2LTEwLTAzIiAKA0NLRxIKMjAyNi0xMC0wMxoDTEpHKgIzVTIEODAxMWoNCAISCS9tLzAxNzIzNnINCAISCS9tLzAyZnE0axoqEgoyMDI2LTEwLTA4ag0IAhIJL20vMDJmcTRrcg0IAhIJL20vMDE3MjM2QAFIAXABggELCP___________wGYAQE&amp;tfu=CmxDalJJY2pKUlRVOUphVk5QUmxsQlJIWTFaSGRDUnkwdExTMHRMUzB0TFMxemJXRXhNMEZCUVVGQlIzRlpSRmMwVG0xbFJsVkJFZ1l6VlRnd01URWFDZ2lXRUJBQUdnTkRUbGs0SEhEUThBRT0SAggAIgMKATA&amp;hl=zh-CN&amp;curr=CNY</x:v>
      </x:c>
    </x:row>
    <x:row r="12" ht="42" customHeight="1">
      <x:c r="A12" s="85" t="n">
        <x:f>ROW()-7</x:f>
        <x:v>5</x:v>
      </x:c>
      <x:c r="B12" s="86" t="n">
        <x:v>46299</x:v>
      </x:c>
      <x:c r="C12" s="86" t="n">
        <x:v>46303</x:v>
      </x:c>
      <x:c r="D12" s="87" t="n">
        <x:v>4</x:v>
      </x:c>
      <x:c r="E12" s="88" t="str">
        <x:v>川航</x:v>
      </x:c>
      <x:c r="F12" s="88" t="str">
        <x:v>21:20</x:v>
      </x:c>
      <x:c r="G12" s="88" t="str">
        <x:v>22:50</x:v>
      </x:c>
      <x:c r="H12" s="88" t="str">
        <x:v>重庆江北国际机场</x:v>
      </x:c>
      <x:c r="I12" s="88" t="str">
        <x:v>丽江三义机场</x:v>
      </x:c>
      <x:c r="J12" s="88" t="n">
        <x:v>0</x:v>
      </x:c>
      <x:c r="K12" s="88" t="str">
        <x:v>—</x:v>
      </x:c>
      <x:c r="L12" s="88" t="str">
        <x:v>1 小时 30 分钟</x:v>
      </x:c>
      <x:c r="M12" s="89" t="n">
        <x:v>2070</x:v>
      </x:c>
      <x:c r="N12" s="89" t="n">
        <x:v>0</x:v>
      </x:c>
      <x:c r="O12" s="89" t="n">
        <x:f>M12+N12</x:f>
        <x:v>2070</x:v>
      </x:c>
      <x:c r="P12" s="88" t="str">
        <x:f>IF(O12&lt;5000,"是","否")</x:f>
        <x:v>是</x:v>
      </x:c>
      <x:c r="Q12" s="90" t="str">
        <x:v>国内经济舱通常含20kg；出票前须按实际票价等级复核</x:v>
      </x:c>
      <x:c r="R12" s="90" t="str">
        <x:v>该去程对应的最低可订返程组合；具体返程航班需打开来源链接确认</x:v>
      </x:c>
      <x:c r="S12" s="91" t="n">
        <x:v>46267.746869710645</x:v>
      </x:c>
      <x:c r="T12" s="92" t="str">
        <x:v>https://www.google.com/travel/flights?hl=zh-CN&amp;curr=CNY&amp;q=Flights%20from%20Chongqing%20to%20Lijiang%20from%202026-10-04%20to%202026-10-08</x:v>
      </x:c>
      <x:c r="U12" s="136" t="n">
        <x:v>46303</x:v>
      </x:c>
      <x:c r="V12" s="90" t="str">
        <x:v>12:00</x:v>
      </x:c>
      <x:c r="W12" s="90" t="str">
        <x:v>丽江三义机场</x:v>
      </x:c>
      <x:c r="X12" s="137" t="n">
        <x:v>46303</x:v>
      </x:c>
      <x:c r="Y12" s="90" t="str">
        <x:v>19:20</x:v>
      </x:c>
      <x:c r="Z12" s="90" t="str">
        <x:v>重庆江北国际机场</x:v>
      </x:c>
      <x:c r="AA12" s="90" t="str">
        <x:v>吉祥航空</x:v>
      </x:c>
      <x:c r="AB12" s="90" t="n">
        <x:v>1</x:v>
      </x:c>
      <x:c r="AC12" s="90" t="str">
        <x:v>7 小时 20 分钟</x:v>
      </x:c>
      <x:c r="AD12" s="138"/>
      <x:c r="AE12" s="90" t="str">
        <x:v>当前返程列表无价格，采用排序第一条</x:v>
      </x:c>
      <x:c r="AF12" s="92" t="str">
        <x:v>https://www.google.com/travel/flights/search?tfs=CBwQAhpMEgoyMDI2LTEwLTA0IiAKA0NLRxIKMjAyNi0xMC0wNBoDTEpHKgIzVTIEODAxMWoNCAISCS9tLzAxNzIzNnINCAISCS9tLzAyZnE0axoqEgoyMDI2LTEwLTA4ag0IAhIJL20vMDJmcTRrcg0IAhIJL20vMDE3MjM2QAFIAXABggELCP___________wGYAQE&amp;tfu=ClhDalJJYjBOd1MydElWbTlpTW1OQlJIazRhMmRDUnkwdExTMHRMWE50WTNkck55MXVNa0ZCUVVGQlIzRlpSSEpSVEVKMWVubEJFZ1l6VlRnd01URTRIQT09EgYIACACKAEiAwoBMA&amp;hl=zh-CN&amp;curr=CNY</x:v>
      </x:c>
    </x:row>
    <x:row r="13" ht="42" customHeight="1">
      <x:c r="A13" s="85" t="n">
        <x:f>ROW()-7</x:f>
        <x:v>6</x:v>
      </x:c>
      <x:c r="B13" s="86" t="n">
        <x:v>46298</x:v>
      </x:c>
      <x:c r="C13" s="86" t="n">
        <x:v>46304</x:v>
      </x:c>
      <x:c r="D13" s="87" t="n">
        <x:v>6</x:v>
      </x:c>
      <x:c r="E13" s="88" t="str">
        <x:v>中国西部航空</x:v>
      </x:c>
      <x:c r="F13" s="88" t="str">
        <x:v>06:25</x:v>
      </x:c>
      <x:c r="G13" s="88" t="str">
        <x:v>08:10</x:v>
      </x:c>
      <x:c r="H13" s="88" t="str">
        <x:v>重庆江北国际机场</x:v>
      </x:c>
      <x:c r="I13" s="88" t="str">
        <x:v>丽江三义机场</x:v>
      </x:c>
      <x:c r="J13" s="88" t="n">
        <x:v>0</x:v>
      </x:c>
      <x:c r="K13" s="88" t="str">
        <x:v>—</x:v>
      </x:c>
      <x:c r="L13" s="88" t="str">
        <x:v>1 小时 45 分钟</x:v>
      </x:c>
      <x:c r="M13" s="89" t="n">
        <x:v>1322</x:v>
      </x:c>
      <x:c r="N13" s="89" t="n">
        <x:v>800</x:v>
      </x:c>
      <x:c r="O13" s="89" t="n">
        <x:f>M13+N13</x:f>
        <x:v>2122</x:v>
      </x:c>
      <x:c r="P13" s="88" t="str">
        <x:f>IF(O13&lt;5000,"是","否")</x:f>
        <x:v>是</x:v>
      </x:c>
      <x:c r="Q13" s="90" t="str">
        <x:v>差异化行李票价等级未知；按每程20kg最多¥400、往返保守预留¥800</x:v>
      </x:c>
      <x:c r="R13" s="90" t="str">
        <x:v>该去程对应的最低可订返程组合；具体返程航班需打开来源链接确认</x:v>
      </x:c>
      <x:c r="S13" s="91" t="n">
        <x:v>46267.746869710645</x:v>
      </x:c>
      <x:c r="T13" s="92" t="str">
        <x:v>https://www.google.com/travel/flights?hl=zh-CN&amp;curr=CNY&amp;q=Flights%20from%20Chongqing%20to%20Lijiang%20from%202026-10-03%20to%202026-10-09</x:v>
      </x:c>
      <x:c r="U13" s="136" t="n">
        <x:v>46304</x:v>
      </x:c>
      <x:c r="V13" s="90" t="str">
        <x:v>22:15</x:v>
      </x:c>
      <x:c r="W13" s="90" t="str">
        <x:v>丽江三义机场</x:v>
      </x:c>
      <x:c r="X13" s="137" t="n">
        <x:v>46304</x:v>
      </x:c>
      <x:c r="Y13" s="90" t="str">
        <x:v>23:50</x:v>
      </x:c>
      <x:c r="Z13" s="90" t="str">
        <x:v>重庆江北国际机场</x:v>
      </x:c>
      <x:c r="AA13" s="90" t="str">
        <x:v>中国西部航空</x:v>
      </x:c>
      <x:c r="AB13" s="90" t="n">
        <x:v>0</x:v>
      </x:c>
      <x:c r="AC13" s="90" t="str">
        <x:v>1 小时 35 分钟</x:v>
      </x:c>
      <x:c r="AD13" s="138"/>
      <x:c r="AE13" s="90" t="str">
        <x:v>当前返程列表无价格，采用排序第一条</x:v>
      </x:c>
      <x:c r="AF13" s="92" t="str">
        <x:v>https://www.google.com/travel/flights/search?tfs=CBwQAhpMEgoyMDI2LTEwLTAzIiAKA0NLRxIKMjAyNi0xMC0wMxoDTEpHKgJQTjIENjI2MWoNCAISCS9tLzAxNzIzNnINCAISCS9tLzAyZnE0axoqEgoyMDI2LTEwLTA5ag0IAhIJL20vMDJmcTRrcg0IAhIJL20vMDE3MjM2QAFIAXABggELCP___________wGYAQE&amp;tfu=CmxDalJJYjBKcmNXbDVMVVZwVWtGQlJIZEdiSGRDUnkwdExTMHRMUzB0TFhOdGNHUXlNVUZCUVVGQlIzRlpSRmgzVFdkTUxXRkJFZ1pRVGpZeU5qRWFDZ2lxQ2hBQUdnTkRUbGs0SEhEV21RRT0SAggAIgA&amp;hl=zh-CN&amp;curr=CNY</x:v>
      </x:c>
    </x:row>
    <x:row r="14" ht="42" customHeight="1">
      <x:c r="A14" s="85" t="n">
        <x:f>ROW()-7</x:f>
        <x:v>7</x:v>
      </x:c>
      <x:c r="B14" s="86" t="n">
        <x:v>46297</x:v>
      </x:c>
      <x:c r="C14" s="86" t="n">
        <x:v>46301</x:v>
      </x:c>
      <x:c r="D14" s="87" t="n">
        <x:v>4</x:v>
      </x:c>
      <x:c r="E14" s="88" t="str">
        <x:v>东航</x:v>
      </x:c>
      <x:c r="F14" s="88" t="str">
        <x:v>21:20</x:v>
      </x:c>
      <x:c r="G14" s="88" t="str">
        <x:v>22:50</x:v>
      </x:c>
      <x:c r="H14" s="88" t="str">
        <x:v>重庆江北国际机场</x:v>
      </x:c>
      <x:c r="I14" s="88" t="str">
        <x:v>丽江三义机场</x:v>
      </x:c>
      <x:c r="J14" s="88" t="n">
        <x:v>0</x:v>
      </x:c>
      <x:c r="K14" s="88" t="str">
        <x:v>—</x:v>
      </x:c>
      <x:c r="L14" s="88" t="str">
        <x:v>1 小时 30 分钟</x:v>
      </x:c>
      <x:c r="M14" s="89" t="n">
        <x:v>2137</x:v>
      </x:c>
      <x:c r="N14" s="89" t="n">
        <x:v>0</x:v>
      </x:c>
      <x:c r="O14" s="89" t="n">
        <x:f>M14+N14</x:f>
        <x:v>2137</x:v>
      </x:c>
      <x:c r="P14" s="88" t="str">
        <x:f>IF(O14&lt;5000,"是","否")</x:f>
        <x:v>是</x:v>
      </x:c>
      <x:c r="Q14" s="90" t="str">
        <x:v>国内经济舱通常含20kg；出票前须按实际票价等级复核</x:v>
      </x:c>
      <x:c r="R14" s="90" t="str">
        <x:v>该去程对应的最低可订返程组合；具体返程航班需打开来源链接确认</x:v>
      </x:c>
      <x:c r="S14" s="91" t="n">
        <x:v>46267.746869710645</x:v>
      </x:c>
      <x:c r="T14" s="92" t="str">
        <x:v>https://www.google.com/travel/flights?hl=zh-CN&amp;curr=CNY&amp;q=Flights%20from%20Chongqing%20to%20Lijiang%20from%202026-10-02%20to%202026-10-06</x:v>
      </x:c>
      <x:c r="U14" s="136" t="n">
        <x:v>46301</x:v>
      </x:c>
      <x:c r="V14" s="90" t="str">
        <x:v>23:35</x:v>
      </x:c>
      <x:c r="W14" s="90" t="str">
        <x:v>丽江三义机场</x:v>
      </x:c>
      <x:c r="X14" s="137" t="n">
        <x:v>46302</x:v>
      </x:c>
      <x:c r="Y14" s="90" t="str">
        <x:v>01:20</x:v>
      </x:c>
      <x:c r="Z14" s="90" t="str">
        <x:v>重庆江北国际机场</x:v>
      </x:c>
      <x:c r="AA14" s="90" t="str">
        <x:v>东航</x:v>
      </x:c>
      <x:c r="AB14" s="90" t="n">
        <x:v>0</x:v>
      </x:c>
      <x:c r="AC14" s="90" t="str">
        <x:v>1 小时 45 分钟</x:v>
      </x:c>
      <x:c r="AD14" s="138" t="n">
        <x:v>2137</x:v>
      </x:c>
      <x:c r="AE14" s="90" t="str">
        <x:v>匹配原始往返起价</x:v>
      </x:c>
      <x:c r="AF14" s="92" t="str">
        <x:v>https://www.google.com/travel/flights/search?tfs=CBwQAhpMEgoyMDI2LTEwLTAyIiAKA0NLRxIKMjAyNi0xMC0wMhoDTEpHKgJNVTIEMzM3MWoNCAISCS9tLzAxNzIzNnINCAISCS9tLzAyZnE0axoqEgoyMDI2LTEwLTA2ag0IAhIJL20vMDJmcTRrcg0IAhIJL20vMDE3MjM2QAFIAXABggELCP___________wGYAQE&amp;tfu=CmxDalJJYTBKcFduQjNPRU4zUjFGQlJYVkdha0ZDUnkwdExTMHRMWE5sY0dReE1TMXVNVUZCUVVGQlIzRlpSRmgzVFdKUllrZEJFZ1pOVlRNek56RWFDZ2paRUJBQUdnTkRUbGs0SEhDMStBRT0SAggAIgA&amp;hl=zh-CN&amp;curr=CNY</x:v>
      </x:c>
    </x:row>
    <x:row r="15" ht="42" customHeight="1">
      <x:c r="A15" s="85" t="n">
        <x:f>ROW()-7</x:f>
        <x:v>8</x:v>
      </x:c>
      <x:c r="B15" s="86" t="n">
        <x:v>46298</x:v>
      </x:c>
      <x:c r="C15" s="86" t="n">
        <x:v>46304</x:v>
      </x:c>
      <x:c r="D15" s="87" t="n">
        <x:v>6</x:v>
      </x:c>
      <x:c r="E15" s="88" t="str">
        <x:v>祥鹏航空</x:v>
      </x:c>
      <x:c r="F15" s="88" t="str">
        <x:v>16:25</x:v>
      </x:c>
      <x:c r="G15" s="88" t="str">
        <x:v>18:05</x:v>
      </x:c>
      <x:c r="H15" s="88" t="str">
        <x:v>重庆江北国际机场</x:v>
      </x:c>
      <x:c r="I15" s="88" t="str">
        <x:v>丽江三义机场</x:v>
      </x:c>
      <x:c r="J15" s="88" t="n">
        <x:v>0</x:v>
      </x:c>
      <x:c r="K15" s="88" t="str">
        <x:v>—</x:v>
      </x:c>
      <x:c r="L15" s="88" t="str">
        <x:v>1 小时 40 分钟</x:v>
      </x:c>
      <x:c r="M15" s="89" t="n">
        <x:v>1400</x:v>
      </x:c>
      <x:c r="N15" s="89" t="n">
        <x:v>800</x:v>
      </x:c>
      <x:c r="O15" s="89" t="n">
        <x:f>M15+N15</x:f>
        <x:v>2200</x:v>
      </x:c>
      <x:c r="P15" s="88" t="str">
        <x:f>IF(O15&lt;5000,"是","否")</x:f>
        <x:v>是</x:v>
      </x:c>
      <x:c r="Q15" s="90" t="str">
        <x:v>差异化行李票价等级未知；按每程20kg最多¥400、往返保守预留¥800</x:v>
      </x:c>
      <x:c r="R15" s="90" t="str">
        <x:v>该去程对应的最低可订返程组合；具体返程航班需打开来源链接确认</x:v>
      </x:c>
      <x:c r="S15" s="91" t="n">
        <x:v>46267.746869710645</x:v>
      </x:c>
      <x:c r="T15" s="92" t="str">
        <x:v>https://www.google.com/travel/flights?hl=zh-CN&amp;curr=CNY&amp;q=Flights%20from%20Chongqing%20to%20Lijiang%20from%202026-10-03%20to%202026-10-09</x:v>
      </x:c>
      <x:c r="U15" s="136"/>
      <x:c r="V15" s="90"/>
      <x:c r="W15" s="90"/>
      <x:c r="X15" s="137"/>
      <x:c r="Y15" s="90"/>
      <x:c r="Z15" s="90"/>
      <x:c r="AA15" s="90"/>
      <x:c r="AB15" s="90"/>
      <x:c r="AC15" s="90"/>
      <x:c r="AD15" s="138"/>
      <x:c r="AE15" s="90" t="str">
        <x:v>去程当前未找到，返程待核验</x:v>
      </x:c>
      <x:c r="AF15" s="92" t="str">
        <x:v>https://www.google.com/travel/flights/search?tfs=CBwQAhpMEgoyMDI2LTEwLTAzIiAKA0NLRxIKMjAyNi0xMC0wMxoDTEpHKgI4TDIEOTgxOGoNCAISCS9tLzAxNzIzNnINCAISCS9tLzAyZnE0axoqEgoyMDI2LTEwLTA5ag0IAhIJL20vMDJmcTRrcg0IAhIJL20vMDE3MjM2QAFIAXABggELCP___________wGYAQE&amp;tfu=CmxDalJJTjI1cVh5MTFabXBWVjI5QlJXMWFWMEZDUnkwdExTMHRMWE5sZEc0eU5pMXVNVUZCUVVGQlIzRlpSRmd3UVVSMk4yVkJFZ1k0VERrNE1UZ2FDZ2pSQ2hBQUdnTkRUbGs0SEhDYW5nRT0SAggAIgMKATA&amp;hl=zh-CN&amp;curr=CNY</x:v>
      </x:c>
    </x:row>
    <x:row r="16" ht="42" customHeight="1">
      <x:c r="A16" s="85" t="n">
        <x:f>ROW()-7</x:f>
        <x:v>9</x:v>
      </x:c>
      <x:c r="B16" s="86" t="n">
        <x:v>46299</x:v>
      </x:c>
      <x:c r="C16" s="86" t="n">
        <x:v>46303</x:v>
      </x:c>
      <x:c r="D16" s="87" t="n">
        <x:v>4</x:v>
      </x:c>
      <x:c r="E16" s="88" t="str">
        <x:v>中国西部航空</x:v>
      </x:c>
      <x:c r="F16" s="88" t="str">
        <x:v>20:00</x:v>
      </x:c>
      <x:c r="G16" s="88" t="str">
        <x:v>21:40</x:v>
      </x:c>
      <x:c r="H16" s="88" t="str">
        <x:v>重庆江北国际机场</x:v>
      </x:c>
      <x:c r="I16" s="88" t="str">
        <x:v>丽江三义机场</x:v>
      </x:c>
      <x:c r="J16" s="88" t="n">
        <x:v>0</x:v>
      </x:c>
      <x:c r="K16" s="88" t="str">
        <x:v>—</x:v>
      </x:c>
      <x:c r="L16" s="88" t="str">
        <x:v>1 小时 40 分钟</x:v>
      </x:c>
      <x:c r="M16" s="89" t="n">
        <x:v>1450</x:v>
      </x:c>
      <x:c r="N16" s="89" t="n">
        <x:v>800</x:v>
      </x:c>
      <x:c r="O16" s="89" t="n">
        <x:f>M16+N16</x:f>
        <x:v>2250</x:v>
      </x:c>
      <x:c r="P16" s="88" t="str">
        <x:f>IF(O16&lt;5000,"是","否")</x:f>
        <x:v>是</x:v>
      </x:c>
      <x:c r="Q16" s="90" t="str">
        <x:v>差异化行李票价等级未知；按每程20kg最多¥400、往返保守预留¥800</x:v>
      </x:c>
      <x:c r="R16" s="90" t="str">
        <x:v>该去程对应的最低可订返程组合；具体返程航班需打开来源链接确认</x:v>
      </x:c>
      <x:c r="S16" s="91" t="n">
        <x:v>46267.746869710645</x:v>
      </x:c>
      <x:c r="T16" s="92" t="str">
        <x:v>https://www.google.com/travel/flights?hl=zh-CN&amp;curr=CNY&amp;q=Flights%20from%20Chongqing%20to%20Lijiang%20from%202026-10-04%20to%202026-10-08</x:v>
      </x:c>
      <x:c r="U16" s="136" t="n">
        <x:v>46303</x:v>
      </x:c>
      <x:c r="V16" s="90" t="str">
        <x:v>09:15</x:v>
      </x:c>
      <x:c r="W16" s="90" t="str">
        <x:v>丽江三义机场</x:v>
      </x:c>
      <x:c r="X16" s="137" t="n">
        <x:v>46303</x:v>
      </x:c>
      <x:c r="Y16" s="90" t="str">
        <x:v>10:55</x:v>
      </x:c>
      <x:c r="Z16" s="90" t="str">
        <x:v>重庆江北国际机场</x:v>
      </x:c>
      <x:c r="AA16" s="90" t="str">
        <x:v>中国西部航空</x:v>
      </x:c>
      <x:c r="AB16" s="90" t="n">
        <x:v>0</x:v>
      </x:c>
      <x:c r="AC16" s="90" t="str">
        <x:v>1 小时 40 分钟</x:v>
      </x:c>
      <x:c r="AD16" s="138"/>
      <x:c r="AE16" s="90" t="str">
        <x:v>当前返程列表无价格，采用排序第一条</x:v>
      </x:c>
      <x:c r="AF16" s="92" t="str">
        <x:v>https://www.google.com/travel/flights/search?tfs=CBwQAhpMEgoyMDI2LTEwLTA0IiAKA0NLRxIKMjAyNi0xMC0wNBoDTEpHKgJQTjIENjIzOWoNCAISCS9tLzAxNzIzNnINCAISCS9tLzAyZnE0axoqEgoyMDI2LTEwLTA4ag0IAhIJL20vMDJmcTRrcg0IAhIJL20vMDE3MjM2QAFIAXABggELCP___________wGYAQE&amp;tfu=ClhDalJJTlU5V1JHUmlTbE5GWkVsQlEyUlBla0ZDUnkwdExTMHRMUzB0YzJWaVluRXlOa0ZCUVVGQlIzRlpSRmxqUVZKNGEzTkJFZ1pRVGpZeU16azRIQT09EgIIACIA&amp;hl=zh-CN&amp;curr=CNY</x:v>
      </x:c>
    </x:row>
    <x:row r="17" ht="42" customHeight="1">
      <x:c r="A17" s="85" t="n">
        <x:f>ROW()-7</x:f>
        <x:v>10</x:v>
      </x:c>
      <x:c r="B17" s="86" t="n">
        <x:v>46298</x:v>
      </x:c>
      <x:c r="C17" s="86" t="n">
        <x:v>46303</x:v>
      </x:c>
      <x:c r="D17" s="87" t="n">
        <x:v>5</x:v>
      </x:c>
      <x:c r="E17" s="88" t="str">
        <x:v>中国西部航空</x:v>
      </x:c>
      <x:c r="F17" s="88" t="str">
        <x:v>19:45</x:v>
      </x:c>
      <x:c r="G17" s="88" t="str">
        <x:v>21:30</x:v>
      </x:c>
      <x:c r="H17" s="88" t="str">
        <x:v>重庆江北国际机场</x:v>
      </x:c>
      <x:c r="I17" s="88" t="str">
        <x:v>丽江三义机场</x:v>
      </x:c>
      <x:c r="J17" s="88" t="n">
        <x:v>0</x:v>
      </x:c>
      <x:c r="K17" s="88" t="str">
        <x:v>—</x:v>
      </x:c>
      <x:c r="L17" s="88" t="str">
        <x:v>1 小时 45 分钟</x:v>
      </x:c>
      <x:c r="M17" s="89" t="n">
        <x:v>1489</x:v>
      </x:c>
      <x:c r="N17" s="89" t="n">
        <x:v>800</x:v>
      </x:c>
      <x:c r="O17" s="89" t="n">
        <x:f>M17+N17</x:f>
        <x:v>2289</x:v>
      </x:c>
      <x:c r="P17" s="88" t="str">
        <x:f>IF(O17&lt;5000,"是","否")</x:f>
        <x:v>是</x:v>
      </x:c>
      <x:c r="Q17" s="90" t="str">
        <x:v>差异化行李票价等级未知；按每程20kg最多¥400、往返保守预留¥800</x:v>
      </x:c>
      <x:c r="R17" s="90" t="str">
        <x:v>该去程对应的最低可订返程组合；具体返程航班需打开来源链接确认</x:v>
      </x:c>
      <x:c r="S17" s="91" t="n">
        <x:v>46267.746869710645</x:v>
      </x:c>
      <x:c r="T17" s="92" t="str">
        <x:v>https://www.google.com/travel/flights?hl=zh-CN&amp;curr=CNY&amp;q=Flights%20from%20Chongqing%20to%20Lijiang%20from%202026-10-03%20to%202026-10-08</x:v>
      </x:c>
      <x:c r="U17" s="136" t="n">
        <x:v>46303</x:v>
      </x:c>
      <x:c r="V17" s="90" t="str">
        <x:v>09:15</x:v>
      </x:c>
      <x:c r="W17" s="90" t="str">
        <x:v>丽江三义机场</x:v>
      </x:c>
      <x:c r="X17" s="137" t="n">
        <x:v>46303</x:v>
      </x:c>
      <x:c r="Y17" s="90" t="str">
        <x:v>10:55</x:v>
      </x:c>
      <x:c r="Z17" s="90" t="str">
        <x:v>重庆江北国际机场</x:v>
      </x:c>
      <x:c r="AA17" s="90" t="str">
        <x:v>中国西部航空</x:v>
      </x:c>
      <x:c r="AB17" s="90" t="n">
        <x:v>0</x:v>
      </x:c>
      <x:c r="AC17" s="90" t="str">
        <x:v>1 小时 40 分钟</x:v>
      </x:c>
      <x:c r="AD17" s="138"/>
      <x:c r="AE17" s="90" t="str">
        <x:v>当前返程列表无价格，采用排序第一条</x:v>
      </x:c>
      <x:c r="AF17" s="92" t="str">
        <x:v>https://www.google.com/travel/flights/search?tfs=CBwQAhpMEgoyMDI2LTEwLTAzIiAKA0NLRxIKMjAyNi0xMC0wMxoDTEpHKgJQTjIENjIzOWoNCAISCS9tLzAxNzIzNnINCAISCS9tLzAyZnE0axoqEgoyMDI2LTEwLTA4ag0IAhIJL20vMDJmcTRrcg0IAhIJL20vMDE3MjM2QAFIAXABggELCP___________wGYAQE&amp;tfu=ClhDalJJYjBOd1MydElWbTlpTW1OQlJIaGFUbWRDUnkwdExTMHRMWE50WTNkck55MXVNa0ZCUVVGQlIzRlpSRmxqUkhNM1FtMUJFZ1pRVGpZeU16azRIQT09EgIIACIA&amp;hl=zh-CN&amp;curr=CNY</x:v>
      </x:c>
    </x:row>
    <x:row r="18" ht="42" customHeight="1">
      <x:c r="A18" s="85" t="n">
        <x:f>ROW()-7</x:f>
        <x:v>11</x:v>
      </x:c>
      <x:c r="B18" s="86" t="n">
        <x:v>46298</x:v>
      </x:c>
      <x:c r="C18" s="86" t="n">
        <x:v>46303</x:v>
      </x:c>
      <x:c r="D18" s="87" t="n">
        <x:v>5</x:v>
      </x:c>
      <x:c r="E18" s="88" t="str">
        <x:v>中国西部航空</x:v>
      </x:c>
      <x:c r="F18" s="88" t="str">
        <x:v>06:25</x:v>
      </x:c>
      <x:c r="G18" s="88" t="str">
        <x:v>08:10</x:v>
      </x:c>
      <x:c r="H18" s="88" t="str">
        <x:v>重庆江北国际机场</x:v>
      </x:c>
      <x:c r="I18" s="88" t="str">
        <x:v>丽江三义机场</x:v>
      </x:c>
      <x:c r="J18" s="88" t="n">
        <x:v>0</x:v>
      </x:c>
      <x:c r="K18" s="88" t="str">
        <x:v>—</x:v>
      </x:c>
      <x:c r="L18" s="88" t="str">
        <x:v>1 小时 45 分钟</x:v>
      </x:c>
      <x:c r="M18" s="89" t="n">
        <x:v>1548</x:v>
      </x:c>
      <x:c r="N18" s="89" t="n">
        <x:v>800</x:v>
      </x:c>
      <x:c r="O18" s="89" t="n">
        <x:f>M18+N18</x:f>
        <x:v>2348</x:v>
      </x:c>
      <x:c r="P18" s="88" t="str">
        <x:f>IF(O18&lt;5000,"是","否")</x:f>
        <x:v>是</x:v>
      </x:c>
      <x:c r="Q18" s="90" t="str">
        <x:v>差异化行李票价等级未知；按每程20kg最多¥400、往返保守预留¥800</x:v>
      </x:c>
      <x:c r="R18" s="90" t="str">
        <x:v>该去程对应的最低可订返程组合；具体返程航班需打开来源链接确认</x:v>
      </x:c>
      <x:c r="S18" s="91" t="n">
        <x:v>46267.746869710645</x:v>
      </x:c>
      <x:c r="T18" s="92" t="str">
        <x:v>https://www.google.com/travel/flights?hl=zh-CN&amp;curr=CNY&amp;q=Flights%20from%20Chongqing%20to%20Lijiang%20from%202026-10-03%20to%202026-10-08</x:v>
      </x:c>
      <x:c r="U18" s="136" t="n">
        <x:v>46303</x:v>
      </x:c>
      <x:c r="V18" s="90" t="str">
        <x:v>09:15</x:v>
      </x:c>
      <x:c r="W18" s="90" t="str">
        <x:v>丽江三义机场</x:v>
      </x:c>
      <x:c r="X18" s="137" t="n">
        <x:v>46303</x:v>
      </x:c>
      <x:c r="Y18" s="90" t="str">
        <x:v>10:55</x:v>
      </x:c>
      <x:c r="Z18" s="90" t="str">
        <x:v>重庆江北国际机场</x:v>
      </x:c>
      <x:c r="AA18" s="90" t="str">
        <x:v>中国西部航空</x:v>
      </x:c>
      <x:c r="AB18" s="90" t="n">
        <x:v>0</x:v>
      </x:c>
      <x:c r="AC18" s="90" t="str">
        <x:v>1 小时 40 分钟</x:v>
      </x:c>
      <x:c r="AD18" s="138"/>
      <x:c r="AE18" s="90" t="str">
        <x:v>当前返程列表无价格，采用排序第一条</x:v>
      </x:c>
      <x:c r="AF18" s="92" t="str">
        <x:v>https://www.google.com/travel/flights/search?tfs=CBwQAhpMEgoyMDI2LTEwLTAzIiAKA0NLRxIKMjAyNi0xMC0wMxoDTEpHKgJQTjIENjI2MWoNCAISCS9tLzAxNzIzNnINCAISCS9tLzAyZnE0axoqEgoyMDI2LTEwLTA4ag0IAhIJL20vMDJmcTRrcg0IAhIJL20vMDE3MjM2QAFIAXABggELCP___________wGYAQE&amp;tfu=ClhDalJJVEVvMGRVZFVjWE5mVEZsQlJXOU9RMUZDUnkwdExTMHRMUzB0YzJWaVpXRTBNVUZCUVVGQlIzRlpSRmxqUlV4T2VtOUJFZ1pRVGpZeU5qRTRIQT09EgIIACIA&amp;hl=zh-CN&amp;curr=CNY</x:v>
      </x:c>
    </x:row>
    <x:row r="19" ht="42" customHeight="1">
      <x:c r="A19" s="85" t="n">
        <x:f>ROW()-7</x:f>
        <x:v>12</x:v>
      </x:c>
      <x:c r="B19" s="86" t="n">
        <x:v>46298</x:v>
      </x:c>
      <x:c r="C19" s="86" t="n">
        <x:v>46303</x:v>
      </x:c>
      <x:c r="D19" s="87" t="n">
        <x:v>5</x:v>
      </x:c>
      <x:c r="E19" s="88" t="str">
        <x:v>祥鹏航空</x:v>
      </x:c>
      <x:c r="F19" s="88" t="str">
        <x:v>16:25</x:v>
      </x:c>
      <x:c r="G19" s="88" t="str">
        <x:v>18:05</x:v>
      </x:c>
      <x:c r="H19" s="88" t="str">
        <x:v>重庆江北国际机场</x:v>
      </x:c>
      <x:c r="I19" s="88" t="str">
        <x:v>丽江三义机场</x:v>
      </x:c>
      <x:c r="J19" s="88" t="n">
        <x:v>0</x:v>
      </x:c>
      <x:c r="K19" s="88" t="str">
        <x:v>—</x:v>
      </x:c>
      <x:c r="L19" s="88" t="str">
        <x:v>1 小时 40 分钟</x:v>
      </x:c>
      <x:c r="M19" s="89" t="n">
        <x:v>1657</x:v>
      </x:c>
      <x:c r="N19" s="89" t="n">
        <x:v>800</x:v>
      </x:c>
      <x:c r="O19" s="89" t="n">
        <x:f>M19+N19</x:f>
        <x:v>2457</x:v>
      </x:c>
      <x:c r="P19" s="88" t="str">
        <x:f>IF(O19&lt;5000,"是","否")</x:f>
        <x:v>是</x:v>
      </x:c>
      <x:c r="Q19" s="90" t="str">
        <x:v>差异化行李票价等级未知；按每程20kg最多¥400、往返保守预留¥800</x:v>
      </x:c>
      <x:c r="R19" s="90" t="str">
        <x:v>该去程对应的最低可订返程组合；具体返程航班需打开来源链接确认</x:v>
      </x:c>
      <x:c r="S19" s="91" t="n">
        <x:v>46267.746869710645</x:v>
      </x:c>
      <x:c r="T19" s="92" t="str">
        <x:v>https://www.google.com/travel/flights?hl=zh-CN&amp;curr=CNY&amp;q=Flights%20from%20Chongqing%20to%20Lijiang%20from%202026-10-03%20to%202026-10-08</x:v>
      </x:c>
      <x:c r="U19" s="136"/>
      <x:c r="V19" s="90"/>
      <x:c r="W19" s="90"/>
      <x:c r="X19" s="137"/>
      <x:c r="Y19" s="90"/>
      <x:c r="Z19" s="90"/>
      <x:c r="AA19" s="90"/>
      <x:c r="AB19" s="90"/>
      <x:c r="AC19" s="90"/>
      <x:c r="AD19" s="138"/>
      <x:c r="AE19" s="90" t="str">
        <x:v>去程当前未找到，返程待核验</x:v>
      </x:c>
      <x:c r="AF19" s="92" t="str">
        <x:v>https://www.google.com/travel/flights?hl=zh-CN&amp;curr=CNY&amp;q=Flights%20from%20Chongqing%20to%20Lijiang%20from%202026-10-03%20to%202026-10-08</x:v>
      </x:c>
    </x:row>
    <x:row r="20" ht="42" customHeight="1">
      <x:c r="A20" s="85" t="n">
        <x:f>ROW()-7</x:f>
        <x:v>13</x:v>
      </x:c>
      <x:c r="B20" s="86" t="n">
        <x:v>46299</x:v>
      </x:c>
      <x:c r="C20" s="86" t="n">
        <x:v>46303</x:v>
      </x:c>
      <x:c r="D20" s="87" t="n">
        <x:v>4</x:v>
      </x:c>
      <x:c r="E20" s="88" t="str">
        <x:v>祥鹏航空</x:v>
      </x:c>
      <x:c r="F20" s="88" t="str">
        <x:v>16:25</x:v>
      </x:c>
      <x:c r="G20" s="88" t="str">
        <x:v>18:05</x:v>
      </x:c>
      <x:c r="H20" s="88" t="str">
        <x:v>重庆江北国际机场</x:v>
      </x:c>
      <x:c r="I20" s="88" t="str">
        <x:v>丽江三义机场</x:v>
      </x:c>
      <x:c r="J20" s="88" t="n">
        <x:v>0</x:v>
      </x:c>
      <x:c r="K20" s="88" t="str">
        <x:v>—</x:v>
      </x:c>
      <x:c r="L20" s="88" t="str">
        <x:v>1 小时 40 分钟</x:v>
      </x:c>
      <x:c r="M20" s="89" t="n">
        <x:v>1657</x:v>
      </x:c>
      <x:c r="N20" s="89" t="n">
        <x:v>800</x:v>
      </x:c>
      <x:c r="O20" s="89" t="n">
        <x:f>M20+N20</x:f>
        <x:v>2457</x:v>
      </x:c>
      <x:c r="P20" s="88" t="str">
        <x:f>IF(O20&lt;5000,"是","否")</x:f>
        <x:v>是</x:v>
      </x:c>
      <x:c r="Q20" s="90" t="str">
        <x:v>差异化行李票价等级未知；按每程20kg最多¥400、往返保守预留¥800</x:v>
      </x:c>
      <x:c r="R20" s="90" t="str">
        <x:v>该去程对应的最低可订返程组合；具体返程航班需打开来源链接确认</x:v>
      </x:c>
      <x:c r="S20" s="91" t="n">
        <x:v>46267.746869710645</x:v>
      </x:c>
      <x:c r="T20" s="92" t="str">
        <x:v>https://www.google.com/travel/flights?hl=zh-CN&amp;curr=CNY&amp;q=Flights%20from%20Chongqing%20to%20Lijiang%20from%202026-10-04%20to%202026-10-08</x:v>
      </x:c>
      <x:c r="U20" s="136"/>
      <x:c r="V20" s="90"/>
      <x:c r="W20" s="90"/>
      <x:c r="X20" s="137"/>
      <x:c r="Y20" s="90"/>
      <x:c r="Z20" s="90"/>
      <x:c r="AA20" s="90"/>
      <x:c r="AB20" s="90"/>
      <x:c r="AC20" s="90"/>
      <x:c r="AD20" s="138"/>
      <x:c r="AE20" s="90" t="str">
        <x:v>去程当前未找到，返程待核验</x:v>
      </x:c>
      <x:c r="AF20" s="92" t="str">
        <x:v>https://www.google.com/travel/flights/search?tfs=CBwQAhpMEgoyMDI2LTEwLTA0IiAKA0NLRxIKMjAyNi0xMC0wNBoDTEpHKgI4TDIEOTgxOGoNCAISCS9tLzAxNzIzNnINCAISCS9tLzAyZnE0axoqEgoyMDI2LTEwLTA4ag0IAhIJL20vMDJmcTRrcg0IAhIJL20vMDE3MjM2QAFIAXABggELCP___________wGYAQE&amp;tfu=CmxDalJJYTBKcFduQjNPRU4zUjFGQlJYVlBZMEZDUnkwdExTMHRMWE5sY0dReE1TMXVNVUZCUVVGQlIzRlpSRnBGUmpGR00yMUJFZ1k0VERrNE1UZ2FDZ2pIQ3hBQUdnTkRUbGs0SEhEMnF3RT0SAggAIgMKATA&amp;hl=zh-CN&amp;curr=CNY</x:v>
      </x:c>
    </x:row>
    <x:row r="21" ht="42" customHeight="1">
      <x:c r="A21" s="85" t="n">
        <x:f>ROW()-7</x:f>
        <x:v>14</x:v>
      </x:c>
      <x:c r="B21" s="86" t="n">
        <x:v>46297</x:v>
      </x:c>
      <x:c r="C21" s="86" t="n">
        <x:v>46302</x:v>
      </x:c>
      <x:c r="D21" s="87" t="n">
        <x:v>5</x:v>
      </x:c>
      <x:c r="E21" s="88" t="str">
        <x:v>川航</x:v>
      </x:c>
      <x:c r="F21" s="88" t="str">
        <x:v>21:20</x:v>
      </x:c>
      <x:c r="G21" s="88" t="str">
        <x:v>22:50</x:v>
      </x:c>
      <x:c r="H21" s="88" t="str">
        <x:v>重庆江北国际机场</x:v>
      </x:c>
      <x:c r="I21" s="88" t="str">
        <x:v>丽江三义机场</x:v>
      </x:c>
      <x:c r="J21" s="88" t="n">
        <x:v>0</x:v>
      </x:c>
      <x:c r="K21" s="88" t="str">
        <x:v>—</x:v>
      </x:c>
      <x:c r="L21" s="88" t="str">
        <x:v>1 小时 30 分钟</x:v>
      </x:c>
      <x:c r="M21" s="89" t="n">
        <x:v>2499</x:v>
      </x:c>
      <x:c r="N21" s="89" t="n">
        <x:v>0</x:v>
      </x:c>
      <x:c r="O21" s="89" t="n">
        <x:f>M21+N21</x:f>
        <x:v>2499</x:v>
      </x:c>
      <x:c r="P21" s="88" t="str">
        <x:f>IF(O21&lt;5000,"是","否")</x:f>
        <x:v>是</x:v>
      </x:c>
      <x:c r="Q21" s="90" t="str">
        <x:v>国内经济舱通常含20kg；出票前须按实际票价等级复核</x:v>
      </x:c>
      <x:c r="R21" s="90" t="str">
        <x:v>该去程对应的最低可订返程组合；具体返程航班需打开来源链接确认</x:v>
      </x:c>
      <x:c r="S21" s="91" t="n">
        <x:v>46267.746869710645</x:v>
      </x:c>
      <x:c r="T21" s="92" t="str">
        <x:v>https://www.google.com/travel/flights?hl=zh-CN&amp;curr=CNY&amp;q=Flights%20from%20Chongqing%20to%20Lijiang%20from%202026-10-02%20to%202026-10-07</x:v>
      </x:c>
      <x:c r="U21" s="136" t="n">
        <x:v>46302</x:v>
      </x:c>
      <x:c r="V21" s="90" t="str">
        <x:v>10:55</x:v>
      </x:c>
      <x:c r="W21" s="90" t="str">
        <x:v>丽江三义机场</x:v>
      </x:c>
      <x:c r="X21" s="137" t="n">
        <x:v>46302</x:v>
      </x:c>
      <x:c r="Y21" s="90" t="str">
        <x:v>17:55</x:v>
      </x:c>
      <x:c r="Z21" s="90" t="str">
        <x:v>重庆江北国际机场</x:v>
      </x:c>
      <x:c r="AA21" s="90" t="str">
        <x:v>成都航空和川航</x:v>
      </x:c>
      <x:c r="AB21" s="90" t="n">
        <x:v>1</x:v>
      </x:c>
      <x:c r="AC21" s="90" t="str">
        <x:v>7 小时</x:v>
      </x:c>
      <x:c r="AD21" s="138"/>
      <x:c r="AE21" s="90" t="str">
        <x:v>当前返程列表无价格，采用排序第一条</x:v>
      </x:c>
      <x:c r="AF21" s="92" t="str">
        <x:v>https://www.google.com/travel/flights/search?tfs=CBwQAhpMEgoyMDI2LTEwLTAyIiAKA0NLRxIKMjAyNi0xMC0wMhoDTEpHKgIzVTIEODAxMWoNCAISCS9tLzAxNzIzNnINCAISCS9tLzAyZnE0axoqEgoyMDI2LTEwLTA3ag0IAhIJL20vMDJmcTRrcg0IAhIJL20vMDE3MjM2QAFIAXABggELCP___________wGYAQE&amp;tfu=ClhDalJJYnpSMU9IcEhkWFk1WVc5QlJucFNkbEZDUnkwdExTMHRMUzB0TFhObFlteG9OMEZCUVVGQlIzRlpSRnBOUXpCMlZXMUJFZ1l6VlRnd01URTRIQT09EgYIACACKAEiAwoBMA&amp;hl=zh-CN&amp;curr=CNY</x:v>
      </x:c>
    </x:row>
    <x:row r="22" ht="42" customHeight="1">
      <x:c r="A22" s="85" t="n">
        <x:f>ROW()-7</x:f>
        <x:v>15</x:v>
      </x:c>
      <x:c r="B22" s="86" t="n">
        <x:v>46298</x:v>
      </x:c>
      <x:c r="C22" s="86" t="n">
        <x:v>46302</x:v>
      </x:c>
      <x:c r="D22" s="87" t="n">
        <x:v>4</x:v>
      </x:c>
      <x:c r="E22" s="88" t="str">
        <x:v>中国西部航空</x:v>
      </x:c>
      <x:c r="F22" s="88" t="str">
        <x:v>19:45</x:v>
      </x:c>
      <x:c r="G22" s="88" t="str">
        <x:v>21:30</x:v>
      </x:c>
      <x:c r="H22" s="88" t="str">
        <x:v>重庆江北国际机场</x:v>
      </x:c>
      <x:c r="I22" s="88" t="str">
        <x:v>丽江三义机场</x:v>
      </x:c>
      <x:c r="J22" s="88" t="n">
        <x:v>0</x:v>
      </x:c>
      <x:c r="K22" s="88" t="str">
        <x:v>—</x:v>
      </x:c>
      <x:c r="L22" s="88" t="str">
        <x:v>1 小时 45 分钟</x:v>
      </x:c>
      <x:c r="M22" s="89" t="n">
        <x:v>1874</x:v>
      </x:c>
      <x:c r="N22" s="89" t="n">
        <x:v>800</x:v>
      </x:c>
      <x:c r="O22" s="89" t="n">
        <x:f>M22+N22</x:f>
        <x:v>2674</x:v>
      </x:c>
      <x:c r="P22" s="88" t="str">
        <x:f>IF(O22&lt;5000,"是","否")</x:f>
        <x:v>是</x:v>
      </x:c>
      <x:c r="Q22" s="90" t="str">
        <x:v>差异化行李票价等级未知；按每程20kg最多¥400、往返保守预留¥800</x:v>
      </x:c>
      <x:c r="R22" s="90" t="str">
        <x:v>该去程对应的最低可订返程组合；具体返程航班需打开来源链接确认</x:v>
      </x:c>
      <x:c r="S22" s="91" t="n">
        <x:v>46267.746869710645</x:v>
      </x:c>
      <x:c r="T22" s="92" t="str">
        <x:v>https://www.google.com/travel/flights?hl=zh-CN&amp;curr=CNY&amp;q=Flights%20from%20Chongqing%20to%20Lijiang%20from%202026-10-03%20to%202026-10-07</x:v>
      </x:c>
      <x:c r="U22" s="136" t="n">
        <x:v>46302</x:v>
      </x:c>
      <x:c r="V22" s="90" t="str">
        <x:v>10:45</x:v>
      </x:c>
      <x:c r="W22" s="90" t="str">
        <x:v>丽江三义机场</x:v>
      </x:c>
      <x:c r="X22" s="137" t="n">
        <x:v>46302</x:v>
      </x:c>
      <x:c r="Y22" s="90" t="str">
        <x:v>17:25</x:v>
      </x:c>
      <x:c r="Z22" s="90" t="str">
        <x:v>重庆江北国际机场</x:v>
      </x:c>
      <x:c r="AA22" s="90" t="str">
        <x:v>南航</x:v>
      </x:c>
      <x:c r="AB22" s="90" t="n">
        <x:v>1</x:v>
      </x:c>
      <x:c r="AC22" s="90" t="str">
        <x:v>6 小时 40 分钟</x:v>
      </x:c>
      <x:c r="AD22" s="138" t="n">
        <x:v>8880</x:v>
      </x:c>
      <x:c r="AE22" s="90" t="str">
        <x:v>当前价格已变化，采用当前最低价返程</x:v>
      </x:c>
      <x:c r="AF22" s="92" t="str">
        <x:v>https://www.google.com/travel/flights/search?tfs=CBwQAhpuEgoyMDI2LTEwLTAzIiAKA0NLRxIKMjAyNi0xMC0wMxoDQ0FOKgJDWjIEMjMzOSIgCgNDQU4SCjIwMjYtMTAtMDMaA0xKRyoCQ1oyBDIxMTFqDQgCEgkvbS8wMTcyMzZyDQgCEgkvbS8wMmZxNGsaKhIKMjAyNi0xMC0wN2oNCAISCS9tLzAyZnE0a3INCAISCS9tLzAxNzIzNkABSAFwAYIBCwj___________8BmAEB&amp;tfu=CnRDalJJY2pKUlRVOUphVk5QUmxsQlJIZEdRbEZDUnkwdExTMHRMUzB0TFMxemJXRXhNMEZCUVVGQlIzRlpSRnBGUlRsSGVrMUJFZzFEV2pJek16bDhRMW95TVRFeEdnb0lzRVVRQUJvRFEwNVpPQnh3bm9nSRICCAAiAA&amp;hl=zh-CN&amp;curr=CNY</x:v>
      </x:c>
    </x:row>
    <x:row r="23" ht="42" customHeight="1">
      <x:c r="A23" s="85" t="n">
        <x:f>ROW()-7</x:f>
        <x:v>16</x:v>
      </x:c>
      <x:c r="B23" s="86" t="n">
        <x:v>46297</x:v>
      </x:c>
      <x:c r="C23" s="86" t="n">
        <x:v>46301</x:v>
      </x:c>
      <x:c r="D23" s="87" t="n">
        <x:v>4</x:v>
      </x:c>
      <x:c r="E23" s="88" t="str">
        <x:v>川航</x:v>
      </x:c>
      <x:c r="F23" s="88" t="str">
        <x:v>21:20</x:v>
      </x:c>
      <x:c r="G23" s="88" t="str">
        <x:v>22:50</x:v>
      </x:c>
      <x:c r="H23" s="88" t="str">
        <x:v>重庆江北国际机场</x:v>
      </x:c>
      <x:c r="I23" s="88" t="str">
        <x:v>丽江三义机场</x:v>
      </x:c>
      <x:c r="J23" s="88" t="n">
        <x:v>0</x:v>
      </x:c>
      <x:c r="K23" s="88" t="str">
        <x:v>—</x:v>
      </x:c>
      <x:c r="L23" s="88" t="str">
        <x:v>1 小时 30 分钟</x:v>
      </x:c>
      <x:c r="M23" s="89" t="n">
        <x:v>2710</x:v>
      </x:c>
      <x:c r="N23" s="89" t="n">
        <x:v>0</x:v>
      </x:c>
      <x:c r="O23" s="89" t="n">
        <x:f>M23+N23</x:f>
        <x:v>2710</x:v>
      </x:c>
      <x:c r="P23" s="88" t="str">
        <x:f>IF(O23&lt;5000,"是","否")</x:f>
        <x:v>是</x:v>
      </x:c>
      <x:c r="Q23" s="90" t="str">
        <x:v>国内经济舱通常含20kg；出票前须按实际票价等级复核</x:v>
      </x:c>
      <x:c r="R23" s="90" t="str">
        <x:v>该去程对应的最低可订返程组合；具体返程航班需打开来源链接确认</x:v>
      </x:c>
      <x:c r="S23" s="91" t="n">
        <x:v>46267.746869710645</x:v>
      </x:c>
      <x:c r="T23" s="92" t="str">
        <x:v>https://www.google.com/travel/flights?hl=zh-CN&amp;curr=CNY&amp;q=Flights%20from%20Chongqing%20to%20Lijiang%20from%202026-10-02%20to%202026-10-06</x:v>
      </x:c>
      <x:c r="U23" s="136" t="n">
        <x:v>46301</x:v>
      </x:c>
      <x:c r="V23" s="90" t="str">
        <x:v>12:00</x:v>
      </x:c>
      <x:c r="W23" s="90" t="str">
        <x:v>丽江三义机场</x:v>
      </x:c>
      <x:c r="X23" s="137" t="n">
        <x:v>46301</x:v>
      </x:c>
      <x:c r="Y23" s="90" t="str">
        <x:v>19:20</x:v>
      </x:c>
      <x:c r="Z23" s="90" t="str">
        <x:v>重庆江北国际机场</x:v>
      </x:c>
      <x:c r="AA23" s="90" t="str">
        <x:v>吉祥航空</x:v>
      </x:c>
      <x:c r="AB23" s="90" t="n">
        <x:v>1</x:v>
      </x:c>
      <x:c r="AC23" s="90" t="str">
        <x:v>7 小时 20 分钟</x:v>
      </x:c>
      <x:c r="AD23" s="138"/>
      <x:c r="AE23" s="90" t="str">
        <x:v>当前返程列表无价格，采用排序第一条</x:v>
      </x:c>
      <x:c r="AF23" s="92" t="str">
        <x:v>https://www.google.com/travel/flights/search?tfs=CBwQAhpMEgoyMDI2LTEwLTAyIiAKA0NLRxIKMjAyNi0xMC0wMhoDTEpHKgIzVTIEODAxMWoNCAISCS9tLzAxNzIzNnINCAISCS9tLzAyZnE0axoqEgoyMDI2LTEwLTA2ag0IAhIJL20vMDJmcTRrcg0IAhIJL20vMDE3MjM2QAFIAXABggELCP___________wGYAQE&amp;tfu=ClhDalJJYzJVMFgxRk5PR1JrWVZsQlJETnNSMUZDUnkwdExTMHRMUzB0TFMxemJYUjVOa0ZCUVVGQlIzRlpSRnBOUWpSNFVEUkJFZ1l6VlRnd01URTRIQT09EgYIACACKAEiAwoBMA&amp;hl=zh-CN&amp;curr=CNY</x:v>
      </x:c>
    </x:row>
    <x:row r="24" ht="42" customHeight="1">
      <x:c r="A24" s="85" t="n">
        <x:f>ROW()-7</x:f>
        <x:v>17</x:v>
      </x:c>
      <x:c r="B24" s="86" t="n">
        <x:v>46296</x:v>
      </x:c>
      <x:c r="C24" s="86" t="n">
        <x:v>46303</x:v>
      </x:c>
      <x:c r="D24" s="87" t="n">
        <x:v>7</x:v>
      </x:c>
      <x:c r="E24" s="88" t="str">
        <x:v>中国西部航空</x:v>
      </x:c>
      <x:c r="F24" s="88" t="str">
        <x:v>19:45</x:v>
      </x:c>
      <x:c r="G24" s="88" t="str">
        <x:v>21:30</x:v>
      </x:c>
      <x:c r="H24" s="88" t="str">
        <x:v>重庆江北国际机场</x:v>
      </x:c>
      <x:c r="I24" s="88" t="str">
        <x:v>丽江三义机场</x:v>
      </x:c>
      <x:c r="J24" s="88" t="n">
        <x:v>0</x:v>
      </x:c>
      <x:c r="K24" s="88" t="str">
        <x:v>—</x:v>
      </x:c>
      <x:c r="L24" s="88" t="str">
        <x:v>1 小时 45 分钟</x:v>
      </x:c>
      <x:c r="M24" s="89" t="n">
        <x:v>1921</x:v>
      </x:c>
      <x:c r="N24" s="89" t="n">
        <x:v>800</x:v>
      </x:c>
      <x:c r="O24" s="89" t="n">
        <x:f>M24+N24</x:f>
        <x:v>2721</x:v>
      </x:c>
      <x:c r="P24" s="88" t="str">
        <x:f>IF(O24&lt;5000,"是","否")</x:f>
        <x:v>是</x:v>
      </x:c>
      <x:c r="Q24" s="90" t="str">
        <x:v>差异化行李票价等级未知；按每程20kg最多¥400、往返保守预留¥800</x:v>
      </x:c>
      <x:c r="R24" s="90" t="str">
        <x:v>该去程对应的最低可订返程组合；具体返程航班需打开来源链接确认</x:v>
      </x:c>
      <x:c r="S24" s="91" t="n">
        <x:v>46267.746869710645</x:v>
      </x:c>
      <x:c r="T24" s="92" t="str">
        <x:v>https://www.google.com/travel/flights?hl=zh-CN&amp;curr=CNY&amp;q=Flights%20from%20Chongqing%20to%20Lijiang%20from%202026-10-01%20to%202026-10-08</x:v>
      </x:c>
      <x:c r="U24" s="136" t="n">
        <x:v>46303</x:v>
      </x:c>
      <x:c r="V24" s="90" t="str">
        <x:v>09:15</x:v>
      </x:c>
      <x:c r="W24" s="90" t="str">
        <x:v>丽江三义机场</x:v>
      </x:c>
      <x:c r="X24" s="137" t="n">
        <x:v>46303</x:v>
      </x:c>
      <x:c r="Y24" s="90" t="str">
        <x:v>10:55</x:v>
      </x:c>
      <x:c r="Z24" s="90" t="str">
        <x:v>重庆江北国际机场</x:v>
      </x:c>
      <x:c r="AA24" s="90" t="str">
        <x:v>中国西部航空</x:v>
      </x:c>
      <x:c r="AB24" s="90" t="n">
        <x:v>0</x:v>
      </x:c>
      <x:c r="AC24" s="90" t="str">
        <x:v>1 小时 40 分钟</x:v>
      </x:c>
      <x:c r="AD24" s="138"/>
      <x:c r="AE24" s="90" t="str">
        <x:v>当前返程列表无价格，采用排序第一条</x:v>
      </x:c>
      <x:c r="AF24" s="92" t="str">
        <x:v>https://www.google.com/travel/flights/search?tfs=CBwQAhpMEgoyMDI2LTEwLTAxIiAKA0NLRxIKMjAyNi0xMC0wMRoDTEpHKgJQTjIENjIzOWoNCAISCS9tLzAxNzIzNnINCAISCS9tLzAyZnE0axoqEgoyMDI2LTEwLTA4ag0IAhIJL20vMDJmcTRrcg0IAhIJL20vMDE3MjM2QAFIAXABggELCP___________wGYAQE&amp;tfu=ClhDalJJT1hWcVIzUnVRa3BOUjAxQlJVSlBibWRDUnkwdExTMHRMWE50ZEhneE5pMXVNa0ZCUVVGQlIzRlpSRm80U0dsWlRWVkJFZ1pRVGpZeU16azRIQT09EgIIACIDCgEw&amp;hl=zh-CN&amp;curr=CNY</x:v>
      </x:c>
    </x:row>
    <x:row r="25" ht="42" customHeight="1">
      <x:c r="A25" s="85" t="n">
        <x:f>ROW()-7</x:f>
        <x:v>18</x:v>
      </x:c>
      <x:c r="B25" s="86" t="n">
        <x:v>46298</x:v>
      </x:c>
      <x:c r="C25" s="86" t="n">
        <x:v>46302</x:v>
      </x:c>
      <x:c r="D25" s="87" t="n">
        <x:v>4</x:v>
      </x:c>
      <x:c r="E25" s="88" t="str">
        <x:v>中国西部航空</x:v>
      </x:c>
      <x:c r="F25" s="88" t="str">
        <x:v>06:25</x:v>
      </x:c>
      <x:c r="G25" s="88" t="str">
        <x:v>08:10</x:v>
      </x:c>
      <x:c r="H25" s="88" t="str">
        <x:v>重庆江北国际机场</x:v>
      </x:c>
      <x:c r="I25" s="88" t="str">
        <x:v>丽江三义机场</x:v>
      </x:c>
      <x:c r="J25" s="88" t="n">
        <x:v>0</x:v>
      </x:c>
      <x:c r="K25" s="88" t="str">
        <x:v>—</x:v>
      </x:c>
      <x:c r="L25" s="88" t="str">
        <x:v>1 小时 45 分钟</x:v>
      </x:c>
      <x:c r="M25" s="89" t="n">
        <x:v>1933</x:v>
      </x:c>
      <x:c r="N25" s="89" t="n">
        <x:v>800</x:v>
      </x:c>
      <x:c r="O25" s="89" t="n">
        <x:f>M25+N25</x:f>
        <x:v>2733</x:v>
      </x:c>
      <x:c r="P25" s="88" t="str">
        <x:f>IF(O25&lt;5000,"是","否")</x:f>
        <x:v>是</x:v>
      </x:c>
      <x:c r="Q25" s="90" t="str">
        <x:v>差异化行李票价等级未知；按每程20kg最多¥400、往返保守预留¥800</x:v>
      </x:c>
      <x:c r="R25" s="90" t="str">
        <x:v>该去程对应的最低可订返程组合；具体返程航班需打开来源链接确认</x:v>
      </x:c>
      <x:c r="S25" s="91" t="n">
        <x:v>46267.746869710645</x:v>
      </x:c>
      <x:c r="T25" s="92" t="str">
        <x:v>https://www.google.com/travel/flights?hl=zh-CN&amp;curr=CNY&amp;q=Flights%20from%20Chongqing%20to%20Lijiang%20from%202026-10-03%20to%202026-10-07</x:v>
      </x:c>
      <x:c r="U25" s="136" t="n">
        <x:v>46302</x:v>
      </x:c>
      <x:c r="V25" s="90" t="str">
        <x:v>22:15</x:v>
      </x:c>
      <x:c r="W25" s="90" t="str">
        <x:v>丽江三义机场</x:v>
      </x:c>
      <x:c r="X25" s="137" t="n">
        <x:v>46302</x:v>
      </x:c>
      <x:c r="Y25" s="90" t="str">
        <x:v>23:50</x:v>
      </x:c>
      <x:c r="Z25" s="90" t="str">
        <x:v>重庆江北国际机场</x:v>
      </x:c>
      <x:c r="AA25" s="90" t="str">
        <x:v>中国西部航空</x:v>
      </x:c>
      <x:c r="AB25" s="90" t="n">
        <x:v>0</x:v>
      </x:c>
      <x:c r="AC25" s="90" t="str">
        <x:v>1 小时 35 分钟</x:v>
      </x:c>
      <x:c r="AD25" s="138"/>
      <x:c r="AE25" s="90" t="str">
        <x:v>当前返程列表无价格，采用排序第一条</x:v>
      </x:c>
      <x:c r="AF25" s="92" t="str">
        <x:v>https://www.google.com/travel/flights/search?tfs=CBwQAhpMEgoyMDI2LTEwLTAzIiAKA0NLRxIKMjAyNi0xMC0wMxoDTEpHKgJQTjIENjI2MWoNCAISCS9tLzAxNzIzNnINCAISCS9tLzAyZnE0axoqEgoyMDI2LTEwLTA3ag0IAhIJL20vMDJmcTRrcg0IAhIJL20vMDE3MjM2QAFIAXABggELCP___________wGYAQE&amp;tfu=ClhDalJJYzJVMFgxRk5PR1JrWVZsQlJETnZVa0ZDUnkwdExTMHRMUzB0TFMxemJYUjVOa0ZCUVVGQlIzRlpSRm80UzFGVFVXbEJFZ1pRVGpZeU5qRTRIQT09EgIIACIDCgEw&amp;hl=zh-CN&amp;curr=CNY</x:v>
      </x:c>
    </x:row>
    <x:row r="26" ht="42" customHeight="1">
      <x:c r="A26" s="85" t="n">
        <x:f>ROW()-7</x:f>
        <x:v>19</x:v>
      </x:c>
      <x:c r="B26" s="86" t="n">
        <x:v>46298</x:v>
      </x:c>
      <x:c r="C26" s="86" t="n">
        <x:v>46302</x:v>
      </x:c>
      <x:c r="D26" s="87" t="n">
        <x:v>4</x:v>
      </x:c>
      <x:c r="E26" s="88" t="str">
        <x:v>祥鹏航空</x:v>
      </x:c>
      <x:c r="F26" s="88" t="str">
        <x:v>16:25</x:v>
      </x:c>
      <x:c r="G26" s="88" t="str">
        <x:v>18:05</x:v>
      </x:c>
      <x:c r="H26" s="88" t="str">
        <x:v>重庆江北国际机场</x:v>
      </x:c>
      <x:c r="I26" s="88" t="str">
        <x:v>丽江三义机场</x:v>
      </x:c>
      <x:c r="J26" s="88" t="n">
        <x:v>0</x:v>
      </x:c>
      <x:c r="K26" s="88" t="str">
        <x:v>—</x:v>
      </x:c>
      <x:c r="L26" s="88" t="str">
        <x:v>1 小时 40 分钟</x:v>
      </x:c>
      <x:c r="M26" s="89" t="n">
        <x:v>1933</x:v>
      </x:c>
      <x:c r="N26" s="89" t="n">
        <x:v>800</x:v>
      </x:c>
      <x:c r="O26" s="89" t="n">
        <x:f>M26+N26</x:f>
        <x:v>2733</x:v>
      </x:c>
      <x:c r="P26" s="88" t="str">
        <x:f>IF(O26&lt;5000,"是","否")</x:f>
        <x:v>是</x:v>
      </x:c>
      <x:c r="Q26" s="90" t="str">
        <x:v>差异化行李票价等级未知；按每程20kg最多¥400、往返保守预留¥800</x:v>
      </x:c>
      <x:c r="R26" s="90" t="str">
        <x:v>该去程对应的最低可订返程组合；具体返程航班需打开来源链接确认</x:v>
      </x:c>
      <x:c r="S26" s="91" t="n">
        <x:v>46267.746869710645</x:v>
      </x:c>
      <x:c r="T26" s="92" t="str">
        <x:v>https://www.google.com/travel/flights?hl=zh-CN&amp;curr=CNY&amp;q=Flights%20from%20Chongqing%20to%20Lijiang%20from%202026-10-03%20to%202026-10-07</x:v>
      </x:c>
      <x:c r="U26" s="136" t="n">
        <x:v>46302</x:v>
      </x:c>
      <x:c r="V26" s="90" t="str">
        <x:v>10:55</x:v>
      </x:c>
      <x:c r="W26" s="90" t="str">
        <x:v>丽江三义机场</x:v>
      </x:c>
      <x:c r="X26" s="137" t="n">
        <x:v>46302</x:v>
      </x:c>
      <x:c r="Y26" s="90" t="str">
        <x:v>17:55</x:v>
      </x:c>
      <x:c r="Z26" s="90" t="str">
        <x:v>重庆江北国际机场</x:v>
      </x:c>
      <x:c r="AA26" s="90" t="str">
        <x:v>成都航空和川航</x:v>
      </x:c>
      <x:c r="AB26" s="90" t="n">
        <x:v>1</x:v>
      </x:c>
      <x:c r="AC26" s="90" t="str">
        <x:v>7 小时</x:v>
      </x:c>
      <x:c r="AD26" s="138"/>
      <x:c r="AE26" s="90" t="str">
        <x:v>当前返程列表无价格，采用排序第一条</x:v>
      </x:c>
      <x:c r="AF26" s="92" t="str">
        <x:v>https://www.google.com/travel/flights/search?tfs=CBwQAhpMEgoyMDI2LTEwLTAzIiAKA0NLRxIKMjAyNi0xMC0wMxoDTEpHKgIzVTIEODAxMWoNCAISCS9tLzAxNzIzNnINCAISCS9tLzAyZnE0axoqEgoyMDI2LTEwLTA3ag0IAhIJL20vMDJmcTRrcg0IAhIJL20vMDE3MjM2QAFIAXABggELCP___________wGYAQE&amp;tfu=CnBDalJJTjI1cVh5MTFabXBWVjI5QlJXMXVWRUZDUnkwdExTMHRMWE5sZEc0eU5pMXVNVUZCUVVGQlIzRlpSRm80U0VaVVQzZEJFZ2d6VlRnd01URWpNUm9LQ1BFUkVBQWFBME5PV1RnY2NJcUtBZz09EgIIACIA&amp;hl=zh-CN&amp;curr=CNY</x:v>
      </x:c>
    </x:row>
    <x:row r="27" ht="42" customHeight="1">
      <x:c r="A27" s="85" t="n">
        <x:f>ROW()-7</x:f>
        <x:v>20</x:v>
      </x:c>
      <x:c r="B27" s="86" t="n">
        <x:v>46297</x:v>
      </x:c>
      <x:c r="C27" s="86" t="n">
        <x:v>46301</x:v>
      </x:c>
      <x:c r="D27" s="87" t="n">
        <x:v>4</x:v>
      </x:c>
      <x:c r="E27" s="88" t="str">
        <x:v>中国西部航空</x:v>
      </x:c>
      <x:c r="F27" s="88" t="str">
        <x:v>20:00</x:v>
      </x:c>
      <x:c r="G27" s="88" t="str">
        <x:v>21:40</x:v>
      </x:c>
      <x:c r="H27" s="88" t="str">
        <x:v>重庆江北国际机场</x:v>
      </x:c>
      <x:c r="I27" s="88" t="str">
        <x:v>丽江三义机场</x:v>
      </x:c>
      <x:c r="J27" s="88" t="n">
        <x:v>0</x:v>
      </x:c>
      <x:c r="K27" s="88" t="str">
        <x:v>—</x:v>
      </x:c>
      <x:c r="L27" s="88" t="str">
        <x:v>1 小时 40 分钟</x:v>
      </x:c>
      <x:c r="M27" s="89" t="n">
        <x:v>1945</x:v>
      </x:c>
      <x:c r="N27" s="89" t="n">
        <x:v>800</x:v>
      </x:c>
      <x:c r="O27" s="89" t="n">
        <x:f>M27+N27</x:f>
        <x:v>2745</x:v>
      </x:c>
      <x:c r="P27" s="88" t="str">
        <x:f>IF(O27&lt;5000,"是","否")</x:f>
        <x:v>是</x:v>
      </x:c>
      <x:c r="Q27" s="90" t="str">
        <x:v>差异化行李票价等级未知；按每程20kg最多¥400、往返保守预留¥800</x:v>
      </x:c>
      <x:c r="R27" s="90" t="str">
        <x:v>该去程对应的最低可订返程组合；具体返程航班需打开来源链接确认</x:v>
      </x:c>
      <x:c r="S27" s="91" t="n">
        <x:v>46267.746869710645</x:v>
      </x:c>
      <x:c r="T27" s="92" t="str">
        <x:v>https://www.google.com/travel/flights?hl=zh-CN&amp;curr=CNY&amp;q=Flights%20from%20Chongqing%20to%20Lijiang%20from%202026-10-02%20to%202026-10-06</x:v>
      </x:c>
      <x:c r="U27" s="136" t="n">
        <x:v>46301</x:v>
      </x:c>
      <x:c r="V27" s="90" t="str">
        <x:v>09:15</x:v>
      </x:c>
      <x:c r="W27" s="90" t="str">
        <x:v>丽江三义机场</x:v>
      </x:c>
      <x:c r="X27" s="137" t="n">
        <x:v>46301</x:v>
      </x:c>
      <x:c r="Y27" s="90" t="str">
        <x:v>10:55</x:v>
      </x:c>
      <x:c r="Z27" s="90" t="str">
        <x:v>重庆江北国际机场</x:v>
      </x:c>
      <x:c r="AA27" s="90" t="str">
        <x:v>中国西部航空</x:v>
      </x:c>
      <x:c r="AB27" s="90" t="n">
        <x:v>0</x:v>
      </x:c>
      <x:c r="AC27" s="90" t="str">
        <x:v>1 小时 40 分钟</x:v>
      </x:c>
      <x:c r="AD27" s="138"/>
      <x:c r="AE27" s="90" t="str">
        <x:v>当前返程列表无价格，采用排序第一条</x:v>
      </x:c>
      <x:c r="AF27" s="92" t="str">
        <x:v>https://www.google.com/travel/flights/search?tfs=CBwQAhpMEgoyMDI2LTEwLTAyIiAKA0NLRxIKMjAyNi0xMC0wMhoDTEpHKgJQTjIENjIzOWoNCAISCS9tLzAxNzIzNnINCAISCS9tLzAyZnE0axoqEgoyMDI2LTEwLTA2ag0IAhIJL20vMDJmcTRrcg0IAhIJL20vMDE3MjM2QAFIAXABggELCP___________wGYAQE&amp;tfu=ClhDalJJTlU5V1JHUmlTbE5GWkVsQlEyUlpkRUZDUnkwdExTMHRMUzB0YzJWaVluRXlOa0ZCUVVGQlIzRlpSRm80UnpSRFJFZEJFZ1pRVGpZeU16azRIQT09EgIIACIDCgEw&amp;hl=zh-CN&amp;curr=CNY</x:v>
      </x:c>
    </x:row>
    <x:row r="28" ht="42" customHeight="1">
      <x:c r="A28" s="85" t="n">
        <x:f>ROW()-7</x:f>
        <x:v>21</x:v>
      </x:c>
      <x:c r="B28" s="86" t="n">
        <x:v>46296</x:v>
      </x:c>
      <x:c r="C28" s="86" t="n">
        <x:v>46300</x:v>
      </x:c>
      <x:c r="D28" s="87" t="n">
        <x:v>4</x:v>
      </x:c>
      <x:c r="E28" s="88" t="str">
        <x:v>中国西部航空</x:v>
      </x:c>
      <x:c r="F28" s="88" t="str">
        <x:v>19:45</x:v>
      </x:c>
      <x:c r="G28" s="88" t="str">
        <x:v>21:30</x:v>
      </x:c>
      <x:c r="H28" s="88" t="str">
        <x:v>重庆江北国际机场</x:v>
      </x:c>
      <x:c r="I28" s="88" t="str">
        <x:v>丽江三义机场</x:v>
      </x:c>
      <x:c r="J28" s="88" t="n">
        <x:v>0</x:v>
      </x:c>
      <x:c r="K28" s="88" t="str">
        <x:v>—</x:v>
      </x:c>
      <x:c r="L28" s="88" t="str">
        <x:v>1 小时 45 分钟</x:v>
      </x:c>
      <x:c r="M28" s="89" t="n">
        <x:v>1984</x:v>
      </x:c>
      <x:c r="N28" s="89" t="n">
        <x:v>800</x:v>
      </x:c>
      <x:c r="O28" s="89" t="n">
        <x:f>M28+N28</x:f>
        <x:v>2784</x:v>
      </x:c>
      <x:c r="P28" s="88" t="str">
        <x:f>IF(O28&lt;5000,"是","否")</x:f>
        <x:v>是</x:v>
      </x:c>
      <x:c r="Q28" s="90" t="str">
        <x:v>差异化行李票价等级未知；按每程20kg最多¥400、往返保守预留¥800</x:v>
      </x:c>
      <x:c r="R28" s="90" t="str">
        <x:v>该去程对应的最低可订返程组合；具体返程航班需打开来源链接确认</x:v>
      </x:c>
      <x:c r="S28" s="91" t="n">
        <x:v>46267.746869710645</x:v>
      </x:c>
      <x:c r="T28" s="92" t="str">
        <x:v>https://www.google.com/travel/flights?hl=zh-CN&amp;curr=CNY&amp;q=Flights%20from%20Chongqing%20to%20Lijiang%20from%202026-10-01%20to%202026-10-05</x:v>
      </x:c>
      <x:c r="U28" s="136" t="n">
        <x:v>46300</x:v>
      </x:c>
      <x:c r="V28" s="90" t="str">
        <x:v>13:05</x:v>
      </x:c>
      <x:c r="W28" s="90" t="str">
        <x:v>丽江三义机场</x:v>
      </x:c>
      <x:c r="X28" s="137" t="n">
        <x:v>46300</x:v>
      </x:c>
      <x:c r="Y28" s="90" t="str">
        <x:v>14:50</x:v>
      </x:c>
      <x:c r="Z28" s="90" t="str">
        <x:v>重庆江北国际机场</x:v>
      </x:c>
      <x:c r="AA28" s="90" t="str">
        <x:v>中国西部航空</x:v>
      </x:c>
      <x:c r="AB28" s="90" t="n">
        <x:v>0</x:v>
      </x:c>
      <x:c r="AC28" s="90" t="str">
        <x:v>1 小时 45 分钟</x:v>
      </x:c>
      <x:c r="AD28" s="138"/>
      <x:c r="AE28" s="90" t="str">
        <x:v>当前返程列表无价格，采用排序第一条</x:v>
      </x:c>
      <x:c r="AF28" s="92" t="str">
        <x:v>https://www.google.com/travel/flights/search?tfs=CBwQAhpMEgoyMDI2LTEwLTAxIiAKA0NLRxIKMjAyNi0xMC0wMRoDTEpHKgJQTjIENjIzOWoNCAISCS9tLzAxNzIzNnINCAISCS9tLzAyZnE0axoqEgoyMDI2LTEwLTA1ag0IAhIJL20vMDJmcTRrcg0IAhIJL20vMDE3MjM2QAFIAXABggELCP___________wGYAQE&amp;tfu=CnBDalJJVTFCd2FUaFNTbWhxVTBsQlJWbEhUWGRDUnkwdExTMHRMUzB0YzIxck1TMXVNVUZCUVVGQlIzRlpSR0ZyVEY5MlpqUkJFZ2hRVGpZeU16a2pNaG9LQ05NT0VBQWFBME5PV1RnY2NQclpBUT09EgIIACIA&amp;hl=zh-CN&amp;curr=CNY</x:v>
      </x:c>
    </x:row>
    <x:row r="29" ht="42" customHeight="1">
      <x:c r="A29" s="85" t="n">
        <x:f>ROW()-7</x:f>
        <x:v>22</x:v>
      </x:c>
      <x:c r="B29" s="86" t="n">
        <x:v>46297</x:v>
      </x:c>
      <x:c r="C29" s="86" t="n">
        <x:v>46302</x:v>
      </x:c>
      <x:c r="D29" s="87" t="n">
        <x:v>5</x:v>
      </x:c>
      <x:c r="E29" s="88" t="str">
        <x:v>中国西部航空</x:v>
      </x:c>
      <x:c r="F29" s="88" t="str">
        <x:v>20:00</x:v>
      </x:c>
      <x:c r="G29" s="88" t="str">
        <x:v>21:40</x:v>
      </x:c>
      <x:c r="H29" s="88" t="str">
        <x:v>重庆江北国际机场</x:v>
      </x:c>
      <x:c r="I29" s="88" t="str">
        <x:v>丽江三义机场</x:v>
      </x:c>
      <x:c r="J29" s="88" t="n">
        <x:v>0</x:v>
      </x:c>
      <x:c r="K29" s="88" t="str">
        <x:v>—</x:v>
      </x:c>
      <x:c r="L29" s="88" t="str">
        <x:v>1 小时 40 分钟</x:v>
      </x:c>
      <x:c r="M29" s="89" t="n">
        <x:v>2072</x:v>
      </x:c>
      <x:c r="N29" s="89" t="n">
        <x:v>800</x:v>
      </x:c>
      <x:c r="O29" s="89" t="n">
        <x:f>M29+N29</x:f>
        <x:v>2872</x:v>
      </x:c>
      <x:c r="P29" s="88" t="str">
        <x:f>IF(O29&lt;5000,"是","否")</x:f>
        <x:v>是</x:v>
      </x:c>
      <x:c r="Q29" s="90" t="str">
        <x:v>差异化行李票价等级未知；按每程20kg最多¥400、往返保守预留¥800</x:v>
      </x:c>
      <x:c r="R29" s="90" t="str">
        <x:v>该去程对应的最低可订返程组合；具体返程航班需打开来源链接确认</x:v>
      </x:c>
      <x:c r="S29" s="91" t="n">
        <x:v>46267.746869710645</x:v>
      </x:c>
      <x:c r="T29" s="92" t="str">
        <x:v>https://www.google.com/travel/flights?hl=zh-CN&amp;curr=CNY&amp;q=Flights%20from%20Chongqing%20to%20Lijiang%20from%202026-10-02%20to%202026-10-07</x:v>
      </x:c>
      <x:c r="U29" s="136" t="n">
        <x:v>46302</x:v>
      </x:c>
      <x:c r="V29" s="90" t="str">
        <x:v>22:15</x:v>
      </x:c>
      <x:c r="W29" s="90" t="str">
        <x:v>丽江三义机场</x:v>
      </x:c>
      <x:c r="X29" s="137" t="n">
        <x:v>46302</x:v>
      </x:c>
      <x:c r="Y29" s="90" t="str">
        <x:v>23:50</x:v>
      </x:c>
      <x:c r="Z29" s="90" t="str">
        <x:v>重庆江北国际机场</x:v>
      </x:c>
      <x:c r="AA29" s="90" t="str">
        <x:v>中国西部航空</x:v>
      </x:c>
      <x:c r="AB29" s="90" t="n">
        <x:v>0</x:v>
      </x:c>
      <x:c r="AC29" s="90" t="str">
        <x:v>1 小时 35 分钟</x:v>
      </x:c>
      <x:c r="AD29" s="138"/>
      <x:c r="AE29" s="90" t="str">
        <x:v>当前返程列表无价格，采用排序第一条</x:v>
      </x:c>
      <x:c r="AF29" s="92" t="str">
        <x:v>https://www.google.com/travel/flights/search?tfs=CBwQAhpMEgoyMDI2LTEwLTAyIiAKA0NLRxIKMjAyNi0xMC0wMhoDTEpHKgJQTjIENjIzOWoNCAISCS9tLzAxNzIzNnINCAISCS9tLzAyZnE0axoqEgoyMDI2LTEwLTA3ag0IAhIJL20vMDJmcTRrcg0IAhIJL20vMDE3MjM2QAFIAXABggELCP___________wGYAQE&amp;tfu=CmxDalJJT1hWcVIzUnVRa3BOUjAxQlJVSlRSV2RDUnkwdExTMHRMWE50ZEhneE5pMXVNa0ZCUVVGQlIzRlpSR0ZyU1hORFlsRkJFZ1pRVGpZeU16a2FDZ2pKRHhBQUdnTkRUbGs0SEhEVzV3RT0SAggAIgA&amp;hl=zh-CN&amp;curr=CNY</x:v>
      </x:c>
    </x:row>
    <x:row r="30" ht="42" customHeight="1">
      <x:c r="A30" s="85" t="n">
        <x:f>ROW()-7</x:f>
        <x:v>23</x:v>
      </x:c>
      <x:c r="B30" s="86" t="n">
        <x:v>46297</x:v>
      </x:c>
      <x:c r="C30" s="86" t="n">
        <x:v>46301</x:v>
      </x:c>
      <x:c r="D30" s="87" t="n">
        <x:v>4</x:v>
      </x:c>
      <x:c r="E30" s="88" t="str">
        <x:v>祥鹏航空</x:v>
      </x:c>
      <x:c r="F30" s="88" t="str">
        <x:v>16:25</x:v>
      </x:c>
      <x:c r="G30" s="88" t="str">
        <x:v>18:05</x:v>
      </x:c>
      <x:c r="H30" s="88" t="str">
        <x:v>重庆江北国际机场</x:v>
      </x:c>
      <x:c r="I30" s="88" t="str">
        <x:v>丽江三义机场</x:v>
      </x:c>
      <x:c r="J30" s="88" t="n">
        <x:v>0</x:v>
      </x:c>
      <x:c r="K30" s="88" t="str">
        <x:v>—</x:v>
      </x:c>
      <x:c r="L30" s="88" t="str">
        <x:v>1 小时 40 分钟</x:v>
      </x:c>
      <x:c r="M30" s="89" t="n">
        <x:v>2102</x:v>
      </x:c>
      <x:c r="N30" s="89" t="n">
        <x:v>800</x:v>
      </x:c>
      <x:c r="O30" s="89" t="n">
        <x:f>M30+N30</x:f>
        <x:v>2902</x:v>
      </x:c>
      <x:c r="P30" s="88" t="str">
        <x:f>IF(O30&lt;5000,"是","否")</x:f>
        <x:v>是</x:v>
      </x:c>
      <x:c r="Q30" s="90" t="str">
        <x:v>差异化行李票价等级未知；按每程20kg最多¥400、往返保守预留¥800</x:v>
      </x:c>
      <x:c r="R30" s="90" t="str">
        <x:v>该去程对应的最低可订返程组合；具体返程航班需打开来源链接确认</x:v>
      </x:c>
      <x:c r="S30" s="91" t="n">
        <x:v>46267.746869710645</x:v>
      </x:c>
      <x:c r="T30" s="92" t="str">
        <x:v>https://www.google.com/travel/flights?hl=zh-CN&amp;curr=CNY&amp;q=Flights%20from%20Chongqing%20to%20Lijiang%20from%202026-10-02%20to%202026-10-06</x:v>
      </x:c>
      <x:c r="U30" s="136"/>
      <x:c r="V30" s="90"/>
      <x:c r="W30" s="90"/>
      <x:c r="X30" s="137"/>
      <x:c r="Y30" s="90"/>
      <x:c r="Z30" s="90"/>
      <x:c r="AA30" s="90"/>
      <x:c r="AB30" s="90"/>
      <x:c r="AC30" s="90"/>
      <x:c r="AD30" s="138"/>
      <x:c r="AE30" s="90" t="str">
        <x:v>去程当前未找到，返程待核验</x:v>
      </x:c>
      <x:c r="AF30" s="92" t="str">
        <x:v>https://www.google.com/travel/flights?hl=zh-CN&amp;curr=CNY&amp;q=Flights%20from%20Chongqing%20to%20Lijiang%20from%202026-10-02%20to%202026-10-06</x:v>
      </x:c>
    </x:row>
    <x:row r="31" ht="42" customHeight="1">
      <x:c r="A31" s="93" t="n">
        <x:f>ROW()-7</x:f>
        <x:v>24</x:v>
      </x:c>
      <x:c r="B31" s="94" t="n">
        <x:v>46297</x:v>
      </x:c>
      <x:c r="C31" s="94" t="n">
        <x:v>46302</x:v>
      </x:c>
      <x:c r="D31" s="95" t="n">
        <x:v>5</x:v>
      </x:c>
      <x:c r="E31" s="96" t="str">
        <x:v>祥鹏航空</x:v>
      </x:c>
      <x:c r="F31" s="96" t="str">
        <x:v>16:25</x:v>
      </x:c>
      <x:c r="G31" s="96" t="str">
        <x:v>18:05</x:v>
      </x:c>
      <x:c r="H31" s="96" t="str">
        <x:v>重庆江北国际机场</x:v>
      </x:c>
      <x:c r="I31" s="96" t="str">
        <x:v>丽江三义机场</x:v>
      </x:c>
      <x:c r="J31" s="96" t="n">
        <x:v>0</x:v>
      </x:c>
      <x:c r="K31" s="96" t="str">
        <x:v>—</x:v>
      </x:c>
      <x:c r="L31" s="96" t="str">
        <x:v>1 小时 40 分钟</x:v>
      </x:c>
      <x:c r="M31" s="97" t="n">
        <x:v>2102</x:v>
      </x:c>
      <x:c r="N31" s="97" t="n">
        <x:v>800</x:v>
      </x:c>
      <x:c r="O31" s="97" t="n">
        <x:f>M31+N31</x:f>
        <x:v>2902</x:v>
      </x:c>
      <x:c r="P31" s="96" t="str">
        <x:f>IF(O31&lt;5000,"是","否")</x:f>
        <x:v>是</x:v>
      </x:c>
      <x:c r="Q31" s="98" t="str">
        <x:v>差异化行李票价等级未知；按每程20kg最多¥400、往返保守预留¥800</x:v>
      </x:c>
      <x:c r="R31" s="98" t="str">
        <x:v>该去程对应的最低可订返程组合；具体返程航班需打开来源链接确认</x:v>
      </x:c>
      <x:c r="S31" s="99" t="n">
        <x:v>46267.746869710645</x:v>
      </x:c>
      <x:c r="T31" s="100" t="str">
        <x:v>https://www.google.com/travel/flights?hl=zh-CN&amp;curr=CNY&amp;q=Flights%20from%20Chongqing%20to%20Lijiang%20from%202026-10-02%20to%202026-10-07</x:v>
      </x:c>
      <x:c r="U31" s="139"/>
      <x:c r="V31" s="98"/>
      <x:c r="W31" s="98"/>
      <x:c r="X31" s="140"/>
      <x:c r="Y31" s="98"/>
      <x:c r="Z31" s="98"/>
      <x:c r="AA31" s="98"/>
      <x:c r="AB31" s="98"/>
      <x:c r="AC31" s="98"/>
      <x:c r="AD31" s="141"/>
      <x:c r="AE31" s="98" t="str">
        <x:v>去程当前未找到，返程待核验</x:v>
      </x:c>
      <x:c r="AF31" s="100" t="str">
        <x:v>https://www.google.com/travel/flights?hl=zh-CN&amp;curr=CNY&amp;q=Flights%20from%20Chongqing%20to%20Lijiang%20from%202026-10-02%20to%202026-10-07</x:v>
      </x:c>
    </x:row>
  </x:sheetData>
  <x:mergeCells>
    <x:mergeCell ref="A1:AF1"/>
    <x:mergeCell ref="A2:AF2"/>
    <x:mergeCell ref="A4:AF4"/>
    <x:mergeCell ref="A5:AF5"/>
  </x:mergeCells>
  <x:conditionalFormatting sqref="O8:O31">
    <x:cfRule type="cellIs" dxfId="4" priority="1" operator="lessThanOrEqual">
      <x:formula>3500</x:formula>
    </x:cfRule>
    <x:cfRule type="cellIs" dxfId="5" priority="2" operator="greaterThanOrEqual">
      <x:formula>4500</x:formula>
    </x:cfRule>
  </x:conditionalFormatting>
  <x:conditionalFormatting sqref="AE8:AE31">
    <x:cfRule type="containsText" dxfId="18" priority="3" operator="containsText" text="匹配原始"/>
    <x:cfRule type="containsText" dxfId="19" priority="4" operator="containsText" text="价格已变化"/>
    <x:cfRule type="containsText" dxfId="20" priority="5" operator="containsText" text="无价格"/>
    <x:cfRule type="containsText" dxfId="21" priority="6" operator="containsText" text="待核验"/>
    <x:cfRule type="containsText" dxfId="22" priority="7" operator="containsText" text="失败"/>
  </x:conditionalFormatting>
  <x:pageMargins left="0.7" right="0.7" top="0.75" bottom="0.75" header="0.3" footer="0.3"/>
  <x:tableParts count="2">
    <x:tablePart xmlns:r="http://schemas.openxmlformats.org/officeDocument/2006/relationships" r:id="R574b060f29d541d1"/>
    <x:tablePart xmlns:r="http://schemas.openxmlformats.org/officeDocument/2006/relationships" r:id="R7cb99d5f5c0845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2" hidden="0" customWidth="1"/>
    <x:col min="4" max="4" width="8" hidden="0" customWidth="1"/>
    <x:col min="5" max="5" width="21" hidden="0" customWidth="1"/>
    <x:col min="6" max="6" width="10" hidden="0" customWidth="1"/>
    <x:col min="7" max="7" width="10" hidden="0" customWidth="1"/>
    <x:col min="8" max="8" width="24" hidden="0" customWidth="1"/>
    <x:col min="9" max="9" width="24" hidden="0" customWidth="1"/>
    <x:col min="10" max="10" width="8" hidden="0" customWidth="1"/>
    <x:col min="11" max="11" width="27" hidden="0" customWidth="1"/>
    <x:col min="12" max="12" width="14" hidden="0" customWidth="1"/>
    <x:col min="13" max="13" width="14" hidden="0" customWidth="1"/>
    <x:col min="14" max="14" width="14" hidden="0" customWidth="1"/>
    <x:col min="15" max="15" width="15" hidden="0" customWidth="1"/>
    <x:col min="16" max="16" width="13" hidden="0" customWidth="1"/>
    <x:col min="17" max="17" width="39" hidden="0" customWidth="1"/>
    <x:col min="18" max="18" width="42" hidden="0" customWidth="1"/>
    <x:col min="19" max="19" width="20" hidden="0" customWidth="1"/>
    <x:col min="20" max="20" width="58" hidden="0" customWidth="1"/>
    <x:col min="21" max="21" width="12" hidden="0" customWidth="1"/>
    <x:col min="22" max="22" width="10" hidden="0" customWidth="1"/>
    <x:col min="23" max="23" width="24" hidden="0" customWidth="1"/>
    <x:col min="24" max="24" width="12" hidden="0" customWidth="1"/>
    <x:col min="25" max="25" width="10" hidden="0" customWidth="1"/>
    <x:col min="26" max="26" width="24" hidden="0" customWidth="1"/>
    <x:col min="27" max="27" width="20" hidden="0" customWidth="1"/>
    <x:col min="28" max="28" width="9" hidden="0" customWidth="1"/>
    <x:col min="29" max="29" width="14" hidden="0" customWidth="1"/>
    <x:col min="30" max="30" width="14" hidden="0" customWidth="1"/>
    <x:col min="31" max="31" width="34" hidden="0" customWidth="1"/>
    <x:col min="32" max="32" width="58" hidden="0" customWidth="1"/>
  </x:cols>
  <x:sheetData>
    <x:row r="1" ht="32" customHeight="1">
      <x:c r="A1" s="101" t="str">
        <x:v>重庆 → 丽江（LJG） TOP10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  <x:c r="AA1" s="101"/>
      <x:c r="AB1" s="101"/>
      <x:c r="AC1" s="101"/>
      <x:c r="AD1" s="101"/>
      <x:c r="AE1" s="101"/>
      <x:c r="AF1" s="101"/>
    </x:row>
    <x:row r="2" ht="28" customHeight="1">
      <x:c r="A2" s="104" t="str">
        <x:v>TOP10 从该路线全集合并后按“含20kg估算总价”升序选取；不是按单日最低价抽样。</x:v>
      </x:c>
      <x:c r="B2" s="104"/>
      <x:c r="C2" s="104"/>
      <x:c r="D2" s="104"/>
      <x:c r="E2" s="104"/>
      <x:c r="F2" s="104"/>
      <x:c r="G2" s="104"/>
      <x:c r="H2" s="104"/>
      <x:c r="I2" s="104"/>
      <x:c r="J2" s="104"/>
      <x:c r="K2" s="104"/>
      <x:c r="L2" s="104"/>
      <x:c r="M2" s="104"/>
      <x:c r="N2" s="104"/>
      <x:c r="O2" s="104"/>
      <x:c r="P2" s="104"/>
      <x:c r="Q2" s="104"/>
      <x:c r="R2" s="104"/>
      <x:c r="S2" s="104"/>
      <x:c r="T2" s="104"/>
      <x:c r="U2" s="104"/>
      <x:c r="V2" s="104"/>
      <x:c r="W2" s="104"/>
      <x:c r="X2" s="104"/>
      <x:c r="Y2" s="104"/>
      <x:c r="Z2" s="104"/>
      <x:c r="AA2" s="104"/>
      <x:c r="AB2" s="104"/>
      <x:c r="AC2" s="104"/>
      <x:c r="AD2" s="104"/>
      <x:c r="AE2" s="104"/>
      <x:c r="AF2" s="104"/>
    </x:row>
    <x:row r="3">
      <x:c r="A3" s="68" t="str">
        <x:v>方案数</x:v>
      </x:c>
      <x:c r="B3" s="68" t="n">
        <x:f>COUNTA(A8:A17)</x:f>
        <x:v>10</x:v>
      </x:c>
      <x:c r="C3" s="68"/>
      <x:c r="D3" s="68" t="str">
        <x:v>覆盖日期组合</x:v>
      </x:c>
      <x:c r="E3" s="68" t="str">
        <x:v>9/14</x:v>
      </x:c>
      <x:c r="F3" s="68"/>
      <x:c r="G3" s="68" t="str">
        <x:v>最低含行李价</x:v>
      </x:c>
      <x:c r="H3" s="69" t="n">
        <x:f>MIN(O8:O17)</x:f>
        <x:v>1277</x:v>
      </x:c>
      <x:c r="I3" s="68"/>
      <x:c r="J3" s="68" t="str">
        <x:v>最高合格价</x:v>
      </x:c>
      <x:c r="K3" s="69" t="n">
        <x:f>MAX(O8:O17)</x:f>
        <x:v>2289</x:v>
      </x:c>
      <x:c r="L3" s="68"/>
      <x:c r="M3" s="68" t="str">
        <x:v>价格上限</x:v>
      </x:c>
      <x:c r="N3" s="69" t="n">
        <x:v>5000</x:v>
      </x:c>
      <x:c r="O3" s="68"/>
      <x:c r="P3" s="68" t="str">
        <x:v>搜索时间</x:v>
      </x:c>
      <x:c r="Q3" s="70" t="n">
        <x:v>46267.752321875</x:v>
      </x:c>
      <x:c r="R3" s="71"/>
      <x:c r="S3" s="71"/>
      <x:c r="T3" s="71"/>
    </x:row>
    <x:row r="4" ht="28" customHeight="1">
      <x:c r="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G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H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I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J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K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L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M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N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O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P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Q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R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S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T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U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V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W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X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Y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Z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A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B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C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D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E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  <x:c r="AF4" s="107" t="str">
        <x:v>价格与返程说明：原始往返起价保持不变；返程字段来自重新打开该去程后的当前返程列表。若原价已变化、列表无价格或原去程不可用，均在“返程匹配状态”中明确标注。</x:v>
      </x:c>
    </x:row>
    <x:row r="5" ht="34" customHeight="1">
      <x:c r="A5" s="110" t="str">
        <x:v>行李来源：春秋航空 https://www.ch.com/News/09931f418e51475d9bdee6c598343199.html；西部航空 https://www.westair.cn/stcontent/menupage/fe61b2ec-9adb-4033-9d00-3297748aa1cc/88f48e03-163c-4dd9-9229-8be70d1ba853/71901746-da70-4e43-84bc-f2d2c01278a3。传统航司按国内经济舱通常20kg处理，差异化航司采用保守预留，出票前仍须复核。</x:v>
      </x:c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  <x:c r="M5" s="110"/>
      <x:c r="N5" s="110"/>
      <x:c r="O5" s="110"/>
      <x:c r="P5" s="110"/>
      <x:c r="Q5" s="110"/>
      <x:c r="R5" s="110"/>
      <x:c r="S5" s="110"/>
      <x:c r="T5" s="110"/>
      <x:c r="U5" s="110"/>
      <x:c r="V5" s="110"/>
      <x:c r="W5" s="110"/>
      <x:c r="X5" s="110"/>
      <x:c r="Y5" s="110"/>
      <x:c r="Z5" s="110"/>
      <x:c r="AA5" s="110"/>
      <x:c r="AB5" s="110"/>
      <x:c r="AC5" s="110"/>
      <x:c r="AD5" s="110"/>
      <x:c r="AE5" s="110"/>
      <x:c r="AF5" s="110"/>
    </x:row>
    <x:row r="6">
      <x:c r="A6" s="71"/>
      <x:c r="B6" s="71"/>
      <x:c r="C6" s="71"/>
      <x:c r="D6" s="71"/>
      <x:c r="E6" s="71"/>
      <x:c r="F6" s="71"/>
      <x:c r="G6" s="71"/>
      <x:c r="H6" s="71"/>
      <x:c r="I6" s="71"/>
      <x:c r="J6" s="71"/>
      <x:c r="K6" s="71"/>
      <x:c r="L6" s="71"/>
      <x:c r="M6" s="71"/>
      <x:c r="N6" s="71"/>
      <x:c r="O6" s="71"/>
      <x:c r="P6" s="71"/>
      <x:c r="Q6" s="71"/>
      <x:c r="R6" s="71"/>
      <x:c r="S6" s="71"/>
      <x:c r="T6" s="71"/>
    </x:row>
    <x:row r="7" ht="34" customHeight="1">
      <x:c r="A7" s="74" t="str">
        <x:v>序号</x:v>
      </x:c>
      <x:c r="B7" s="75" t="str">
        <x:v>出发日期</x:v>
      </x:c>
      <x:c r="C7" s="75" t="str">
        <x:v>返程日期</x:v>
      </x:c>
      <x:c r="D7" s="75" t="str">
        <x:v>停留天数</x:v>
      </x:c>
      <x:c r="E7" s="75" t="str">
        <x:v>航空公司</x:v>
      </x:c>
      <x:c r="F7" s="75" t="str">
        <x:v>出发时间</x:v>
      </x:c>
      <x:c r="G7" s="75" t="str">
        <x:v>到达时间</x:v>
      </x:c>
      <x:c r="H7" s="75" t="str">
        <x:v>出发机场</x:v>
      </x:c>
      <x:c r="I7" s="75" t="str">
        <x:v>到达机场</x:v>
      </x:c>
      <x:c r="J7" s="75" t="str">
        <x:v>经停次数</x:v>
      </x:c>
      <x:c r="K7" s="75" t="str">
        <x:v>中转信息</x:v>
      </x:c>
      <x:c r="L7" s="75" t="str">
        <x:v>去程时长</x:v>
      </x:c>
      <x:c r="M7" s="75" t="str">
        <x:v>Google往返起价</x:v>
      </x:c>
      <x:c r="N7" s="75" t="str">
        <x:v>20kg行李估算</x:v>
      </x:c>
      <x:c r="O7" s="75" t="str">
        <x:v>含20kg估算总价</x:v>
      </x:c>
      <x:c r="P7" s="75" t="str">
        <x:v>严格低于¥5,000</x:v>
      </x:c>
      <x:c r="Q7" s="75" t="str">
        <x:v>行李口径</x:v>
      </x:c>
      <x:c r="R7" s="75" t="str">
        <x:v>返程说明</x:v>
      </x:c>
      <x:c r="S7" s="75" t="str">
        <x:v>搜索时间</x:v>
      </x:c>
      <x:c r="T7" s="76" t="str">
        <x:v>来源URL</x:v>
      </x:c>
      <x:c r="U7" s="124" t="str">
        <x:v>返程出发日期</x:v>
      </x:c>
      <x:c r="V7" s="125" t="str">
        <x:v>返程起飞时间</x:v>
      </x:c>
      <x:c r="W7" s="125" t="str">
        <x:v>返程出发机场</x:v>
      </x:c>
      <x:c r="X7" s="125" t="str">
        <x:v>返程到达日期</x:v>
      </x:c>
      <x:c r="Y7" s="125" t="str">
        <x:v>返程到达时间</x:v>
      </x:c>
      <x:c r="Z7" s="125" t="str">
        <x:v>返程到达机场</x:v>
      </x:c>
      <x:c r="AA7" s="125" t="str">
        <x:v>返程航空公司</x:v>
      </x:c>
      <x:c r="AB7" s="125" t="str">
        <x:v>返程经停次数</x:v>
      </x:c>
      <x:c r="AC7" s="125" t="str">
        <x:v>返程时长</x:v>
      </x:c>
      <x:c r="AD7" s="125" t="str">
        <x:v>当前返程总价</x:v>
      </x:c>
      <x:c r="AE7" s="125" t="str">
        <x:v>返程匹配状态</x:v>
      </x:c>
      <x:c r="AF7" s="126" t="str">
        <x:v>返程来源URL</x:v>
      </x:c>
    </x:row>
    <x:row r="8" ht="42" customHeight="1">
      <x:c r="A8" s="77" t="n">
        <x:f>ROW()-7</x:f>
        <x:v>1</x:v>
      </x:c>
      <x:c r="B8" s="78" t="n">
        <x:v>46300</x:v>
      </x:c>
      <x:c r="C8" s="78" t="n">
        <x:v>46304</x:v>
      </x:c>
      <x:c r="D8" s="79" t="n">
        <x:v>4</x:v>
      </x:c>
      <x:c r="E8" s="80" t="str">
        <x:v>川航</x:v>
      </x:c>
      <x:c r="F8" s="80" t="str">
        <x:v>21:20</x:v>
      </x:c>
      <x:c r="G8" s="80" t="str">
        <x:v>22:50</x:v>
      </x:c>
      <x:c r="H8" s="80" t="str">
        <x:v>重庆江北国际机场</x:v>
      </x:c>
      <x:c r="I8" s="80" t="str">
        <x:v>丽江三义机场</x:v>
      </x:c>
      <x:c r="J8" s="80" t="n">
        <x:v>0</x:v>
      </x:c>
      <x:c r="K8" s="80" t="str">
        <x:v>—</x:v>
      </x:c>
      <x:c r="L8" s="80" t="str">
        <x:v>1 小时 30 分钟</x:v>
      </x:c>
      <x:c r="M8" s="81" t="n">
        <x:v>1277</x:v>
      </x:c>
      <x:c r="N8" s="81" t="n">
        <x:v>0</x:v>
      </x:c>
      <x:c r="O8" s="81" t="n">
        <x:f>M8+N8</x:f>
        <x:v>1277</x:v>
      </x:c>
      <x:c r="P8" s="80" t="str">
        <x:f>IF(O8&lt;5000,"是","否")</x:f>
        <x:v>是</x:v>
      </x:c>
      <x:c r="Q8" s="82" t="str">
        <x:v>国内经济舱通常含20kg；出票前须按实际票价等级复核</x:v>
      </x:c>
      <x:c r="R8" s="82" t="str">
        <x:v>该去程对应的最低可订返程组合；具体返程航班需打开来源链接确认</x:v>
      </x:c>
      <x:c r="S8" s="83" t="n">
        <x:v>46267.746869710645</x:v>
      </x:c>
      <x:c r="T8" s="84" t="str">
        <x:v>https://www.google.com/travel/flights?hl=zh-CN&amp;curr=CNY&amp;q=Flights%20from%20Chongqing%20to%20Lijiang%20from%202026-10-05%20to%202026-10-09</x:v>
      </x:c>
      <x:c r="U8" s="133" t="n">
        <x:v>46304</x:v>
      </x:c>
      <x:c r="V8" s="82" t="str">
        <x:v>22:15</x:v>
      </x:c>
      <x:c r="W8" s="82" t="str">
        <x:v>丽江三义机场</x:v>
      </x:c>
      <x:c r="X8" s="134" t="n">
        <x:v>46304</x:v>
      </x:c>
      <x:c r="Y8" s="82" t="str">
        <x:v>23:50</x:v>
      </x:c>
      <x:c r="Z8" s="82" t="str">
        <x:v>重庆江北国际机场</x:v>
      </x:c>
      <x:c r="AA8" s="82" t="str">
        <x:v>中国西部航空</x:v>
      </x:c>
      <x:c r="AB8" s="82" t="n">
        <x:v>0</x:v>
      </x:c>
      <x:c r="AC8" s="82" t="str">
        <x:v>1 小时 35 分钟</x:v>
      </x:c>
      <x:c r="AD8" s="135"/>
      <x:c r="AE8" s="82" t="str">
        <x:v>当前返程列表无价格，采用排序第一条</x:v>
      </x:c>
      <x:c r="AF8" s="84" t="str">
        <x:v>https://www.google.com/travel/flights/search?tfs=CBwQAhpMEgoyMDI2LTEwLTA1IiAKA0NLRxIKMjAyNi0xMC0wNRoDTEpHKgJQTjIENjIzOWoNCAISCS9tLzAxNzIzNnINCAISCS9tLzAyZnE0axoqEgoyMDI2LTEwLTA5ag0IAhIJL20vMDJmcTRrcg0IAhIJL20vMDE3MjM2QAFIAXABggELCP___________wGYAQE&amp;tfu=ClhDalJJTFdzelFXRXhNM05FT1ZGQlJWUk5ObEZDUnkwdExTMHRMUzB0TFMxelpXRmtOa0ZCUVVGQlIzRlpSRmMwU1dRNVVHVkJFZ1pRVGpZeU16azRIQT09EgIIACIDCgEw&amp;hl=zh-CN&amp;curr=CNY</x:v>
      </x:c>
    </x:row>
    <x:row r="9" ht="42" customHeight="1">
      <x:c r="A9" s="85" t="n">
        <x:f>ROW()-7</x:f>
        <x:v>2</x:v>
      </x:c>
      <x:c r="B9" s="86" t="n">
        <x:v>46298</x:v>
      </x:c>
      <x:c r="C9" s="86" t="n">
        <x:v>46304</x:v>
      </x:c>
      <x:c r="D9" s="87" t="n">
        <x:v>6</x:v>
      </x:c>
      <x:c r="E9" s="88" t="str">
        <x:v>川航</x:v>
      </x:c>
      <x:c r="F9" s="88" t="str">
        <x:v>21:20</x:v>
      </x:c>
      <x:c r="G9" s="88" t="str">
        <x:v>22:50</x:v>
      </x:c>
      <x:c r="H9" s="88" t="str">
        <x:v>重庆江北国际机场</x:v>
      </x:c>
      <x:c r="I9" s="88" t="str">
        <x:v>丽江三义机场</x:v>
      </x:c>
      <x:c r="J9" s="88" t="n">
        <x:v>0</x:v>
      </x:c>
      <x:c r="K9" s="88" t="str">
        <x:v>—</x:v>
      </x:c>
      <x:c r="L9" s="88" t="str">
        <x:v>1 小时 30 分钟</x:v>
      </x:c>
      <x:c r="M9" s="89" t="n">
        <x:v>1446</x:v>
      </x:c>
      <x:c r="N9" s="89" t="n">
        <x:v>0</x:v>
      </x:c>
      <x:c r="O9" s="89" t="n">
        <x:f>M9+N9</x:f>
        <x:v>1446</x:v>
      </x:c>
      <x:c r="P9" s="88" t="str">
        <x:f>IF(O9&lt;5000,"是","否")</x:f>
        <x:v>是</x:v>
      </x:c>
      <x:c r="Q9" s="90" t="str">
        <x:v>国内经济舱通常含20kg；出票前须按实际票价等级复核</x:v>
      </x:c>
      <x:c r="R9" s="90" t="str">
        <x:v>该去程对应的最低可订返程组合；具体返程航班需打开来源链接确认</x:v>
      </x:c>
      <x:c r="S9" s="91" t="n">
        <x:v>46267.746869710645</x:v>
      </x:c>
      <x:c r="T9" s="92" t="str">
        <x:v>https://www.google.com/travel/flights?hl=zh-CN&amp;curr=CNY&amp;q=Flights%20from%20Chongqing%20to%20Lijiang%20from%202026-10-03%20to%202026-10-09</x:v>
      </x:c>
      <x:c r="U9" s="136" t="n">
        <x:v>46304</x:v>
      </x:c>
      <x:c r="V9" s="90" t="str">
        <x:v>10:55</x:v>
      </x:c>
      <x:c r="W9" s="90" t="str">
        <x:v>丽江三义机场</x:v>
      </x:c>
      <x:c r="X9" s="137" t="n">
        <x:v>46304</x:v>
      </x:c>
      <x:c r="Y9" s="90" t="str">
        <x:v>17:55</x:v>
      </x:c>
      <x:c r="Z9" s="90" t="str">
        <x:v>重庆江北国际机场</x:v>
      </x:c>
      <x:c r="AA9" s="90" t="str">
        <x:v>成都航空和川航</x:v>
      </x:c>
      <x:c r="AB9" s="90" t="n">
        <x:v>1</x:v>
      </x:c>
      <x:c r="AC9" s="90" t="str">
        <x:v>7 小时</x:v>
      </x:c>
      <x:c r="AD9" s="138"/>
      <x:c r="AE9" s="90" t="str">
        <x:v>当前返程列表无价格，采用排序第一条</x:v>
      </x:c>
      <x:c r="AF9" s="92" t="str">
        <x:v>https://www.google.com/travel/flights/search?tfs=CBwQAhpMEgoyMDI2LTEwLTAzIiAKA0NLRxIKMjAyNi0xMC0wMxoDTEpHKgIzVTIEODAxMWoNCAISCS9tLzAxNzIzNnINCAISCS9tLzAyZnE0axoqEgoyMDI2LTEwLTA5ag0IAhIJL20vMDJmcTRrcg0IAhIJL20vMDE3MjM2QAFIAXABggELCP___________wGYAQE&amp;tfu=ClhDalJJYlhCeE56bGlkak5LY1dkQlJEVkdPWGRDUnkwdExTMHRMUzF6YlhWNE9DMXVNa0ZCUVVGQlIzRlpSRmhCUzI4dGJFdEJFZ1l6VlRnd01URTRIQT09EgYIACACKAEiAwoBMA&amp;hl=zh-CN&amp;curr=CNY</x:v>
      </x:c>
    </x:row>
    <x:row r="10" ht="42" customHeight="1">
      <x:c r="A10" s="85" t="n">
        <x:f>ROW()-7</x:f>
        <x:v>3</x:v>
      </x:c>
      <x:c r="B10" s="86" t="n">
        <x:v>46298</x:v>
      </x:c>
      <x:c r="C10" s="86" t="n">
        <x:v>46304</x:v>
      </x:c>
      <x:c r="D10" s="87" t="n">
        <x:v>6</x:v>
      </x:c>
      <x:c r="E10" s="88" t="str">
        <x:v>中国西部航空</x:v>
      </x:c>
      <x:c r="F10" s="88" t="str">
        <x:v>19:45</x:v>
      </x:c>
      <x:c r="G10" s="88" t="str">
        <x:v>21:30</x:v>
      </x:c>
      <x:c r="H10" s="88" t="str">
        <x:v>重庆江北国际机场</x:v>
      </x:c>
      <x:c r="I10" s="88" t="str">
        <x:v>丽江三义机场</x:v>
      </x:c>
      <x:c r="J10" s="88" t="n">
        <x:v>0</x:v>
      </x:c>
      <x:c r="K10" s="88" t="str">
        <x:v>—</x:v>
      </x:c>
      <x:c r="L10" s="88" t="str">
        <x:v>1 小时 45 分钟</x:v>
      </x:c>
      <x:c r="M10" s="89" t="n">
        <x:v>1263</x:v>
      </x:c>
      <x:c r="N10" s="89" t="n">
        <x:v>800</x:v>
      </x:c>
      <x:c r="O10" s="89" t="n">
        <x:f>M10+N10</x:f>
        <x:v>2063</x:v>
      </x:c>
      <x:c r="P10" s="88" t="str">
        <x:f>IF(O10&lt;5000,"是","否")</x:f>
        <x:v>是</x:v>
      </x:c>
      <x:c r="Q10" s="90" t="str">
        <x:v>差异化行李票价等级未知；按每程20kg最多¥400、往返保守预留¥800</x:v>
      </x:c>
      <x:c r="R10" s="90" t="str">
        <x:v>该去程对应的最低可订返程组合；具体返程航班需打开来源链接确认</x:v>
      </x:c>
      <x:c r="S10" s="91" t="n">
        <x:v>46267.746869710645</x:v>
      </x:c>
      <x:c r="T10" s="92" t="str">
        <x:v>https://www.google.com/travel/flights?hl=zh-CN&amp;curr=CNY&amp;q=Flights%20from%20Chongqing%20to%20Lijiang%20from%202026-10-03%20to%202026-10-09</x:v>
      </x:c>
      <x:c r="U10" s="136" t="n">
        <x:v>46304</x:v>
      </x:c>
      <x:c r="V10" s="90" t="str">
        <x:v>22:15</x:v>
      </x:c>
      <x:c r="W10" s="90" t="str">
        <x:v>丽江三义机场</x:v>
      </x:c>
      <x:c r="X10" s="137" t="n">
        <x:v>46304</x:v>
      </x:c>
      <x:c r="Y10" s="90" t="str">
        <x:v>23:50</x:v>
      </x:c>
      <x:c r="Z10" s="90" t="str">
        <x:v>重庆江北国际机场</x:v>
      </x:c>
      <x:c r="AA10" s="90" t="str">
        <x:v>中国西部航空</x:v>
      </x:c>
      <x:c r="AB10" s="90" t="n">
        <x:v>0</x:v>
      </x:c>
      <x:c r="AC10" s="90" t="str">
        <x:v>1 小时 35 分钟</x:v>
      </x:c>
      <x:c r="AD10" s="138" t="n">
        <x:v>1322</x:v>
      </x:c>
      <x:c r="AE10" s="90" t="str">
        <x:v>当前价格已变化，采用当前最低价返程</x:v>
      </x:c>
      <x:c r="AF10" s="92" t="str">
        <x:v>https://www.google.com/travel/flights/search?tfs=CBwQAhpMEgoyMDI2LTEwLTAzIiAKA0NLRxIKMjAyNi0xMC0wMxoDTEpHKgJQTjIENjI2MWoNCAISCS9tLzAxNzIzNnINCAISCS9tLzAyZnE0axoqEgoyMDI2LTEwLTA5ag0IAhIJL20vMDJmcTRrcg0IAhIJL20vMDE3MjM2QAFIAXABggELCP___________wGYAQE&amp;tfu=CmxDalJJU0dwUmRETldNWGhSUVd0QlJsbFhVR2RDUnkwdExTMHRMUzB0TFhOdFltUjFPVUZCUVVGQlIzRlpSRmMwU2s5WVRrRkJFZ1pRVGpZeU5qRWFDZ2lxQ2hBQUdnTkRUbGs0SEhEV21RRT0SAggAIgA&amp;hl=zh-CN&amp;curr=CNY</x:v>
      </x:c>
    </x:row>
    <x:row r="11" ht="42" customHeight="1">
      <x:c r="A11" s="85" t="n">
        <x:f>ROW()-7</x:f>
        <x:v>4</x:v>
      </x:c>
      <x:c r="B11" s="86" t="n">
        <x:v>46298</x:v>
      </x:c>
      <x:c r="C11" s="86" t="n">
        <x:v>46303</x:v>
      </x:c>
      <x:c r="D11" s="87" t="n">
        <x:v>5</x:v>
      </x:c>
      <x:c r="E11" s="88" t="str">
        <x:v>川航</x:v>
      </x:c>
      <x:c r="F11" s="88" t="str">
        <x:v>21:20</x:v>
      </x:c>
      <x:c r="G11" s="88" t="str">
        <x:v>22:50</x:v>
      </x:c>
      <x:c r="H11" s="88" t="str">
        <x:v>重庆江北国际机场</x:v>
      </x:c>
      <x:c r="I11" s="88" t="str">
        <x:v>丽江三义机场</x:v>
      </x:c>
      <x:c r="J11" s="88" t="n">
        <x:v>0</x:v>
      </x:c>
      <x:c r="K11" s="88" t="str">
        <x:v>—</x:v>
      </x:c>
      <x:c r="L11" s="88" t="str">
        <x:v>1 小时 30 分钟</x:v>
      </x:c>
      <x:c r="M11" s="89" t="n">
        <x:v>2070</x:v>
      </x:c>
      <x:c r="N11" s="89" t="n">
        <x:v>0</x:v>
      </x:c>
      <x:c r="O11" s="89" t="n">
        <x:f>M11+N11</x:f>
        <x:v>2070</x:v>
      </x:c>
      <x:c r="P11" s="88" t="str">
        <x:f>IF(O11&lt;5000,"是","否")</x:f>
        <x:v>是</x:v>
      </x:c>
      <x:c r="Q11" s="90" t="str">
        <x:v>国内经济舱通常含20kg；出票前须按实际票价等级复核</x:v>
      </x:c>
      <x:c r="R11" s="90" t="str">
        <x:v>该去程对应的最低可订返程组合；具体返程航班需打开来源链接确认</x:v>
      </x:c>
      <x:c r="S11" s="91" t="n">
        <x:v>46267.746869710645</x:v>
      </x:c>
      <x:c r="T11" s="92" t="str">
        <x:v>https://www.google.com/travel/flights?hl=zh-CN&amp;curr=CNY&amp;q=Flights%20from%20Chongqing%20to%20Lijiang%20from%202026-10-03%20to%202026-10-08</x:v>
      </x:c>
      <x:c r="U11" s="136" t="n">
        <x:v>46303</x:v>
      </x:c>
      <x:c r="V11" s="90" t="str">
        <x:v>12:00</x:v>
      </x:c>
      <x:c r="W11" s="90" t="str">
        <x:v>丽江三义机场</x:v>
      </x:c>
      <x:c r="X11" s="137" t="n">
        <x:v>46303</x:v>
      </x:c>
      <x:c r="Y11" s="90" t="str">
        <x:v>19:20</x:v>
      </x:c>
      <x:c r="Z11" s="90" t="str">
        <x:v>重庆江北国际机场</x:v>
      </x:c>
      <x:c r="AA11" s="90" t="str">
        <x:v>吉祥航空</x:v>
      </x:c>
      <x:c r="AB11" s="90" t="n">
        <x:v>1</x:v>
      </x:c>
      <x:c r="AC11" s="90" t="str">
        <x:v>7 小时 20 分钟</x:v>
      </x:c>
      <x:c r="AD11" s="138"/>
      <x:c r="AE11" s="90" t="str">
        <x:v>当前返程列表无价格，采用排序第一条</x:v>
      </x:c>
      <x:c r="AF11" s="92" t="str">
        <x:v>https://www.google.com/travel/flights/search?tfs=CBwQAhpMEgoyMDI2LTEwLTAzIiAKA0NLRxIKMjAyNi0xMC0wMxoDTEpHKgIzVTIEODAxMWoNCAISCS9tLzAxNzIzNnINCAISCS9tLzAyZnE0axoqEgoyMDI2LTEwLTA4ag0IAhIJL20vMDJmcTRrcg0IAhIJL20vMDE3MjM2QAFIAXABggELCP___________wGYAQE&amp;tfu=CmxDalJJY2pKUlRVOUphVk5QUmxsQlJIWTFaSGRDUnkwdExTMHRMUzB0TFMxemJXRXhNMEZCUVVGQlIzRlpSRmMwVG0xbFJsVkJFZ1l6VlRnd01URWFDZ2lXRUJBQUdnTkRUbGs0SEhEUThBRT0SAggAIgMKATA&amp;hl=zh-CN&amp;curr=CNY</x:v>
      </x:c>
    </x:row>
    <x:row r="12" ht="42" customHeight="1">
      <x:c r="A12" s="85" t="n">
        <x:f>ROW()-7</x:f>
        <x:v>5</x:v>
      </x:c>
      <x:c r="B12" s="86" t="n">
        <x:v>46299</x:v>
      </x:c>
      <x:c r="C12" s="86" t="n">
        <x:v>46303</x:v>
      </x:c>
      <x:c r="D12" s="87" t="n">
        <x:v>4</x:v>
      </x:c>
      <x:c r="E12" s="88" t="str">
        <x:v>川航</x:v>
      </x:c>
      <x:c r="F12" s="88" t="str">
        <x:v>21:20</x:v>
      </x:c>
      <x:c r="G12" s="88" t="str">
        <x:v>22:50</x:v>
      </x:c>
      <x:c r="H12" s="88" t="str">
        <x:v>重庆江北国际机场</x:v>
      </x:c>
      <x:c r="I12" s="88" t="str">
        <x:v>丽江三义机场</x:v>
      </x:c>
      <x:c r="J12" s="88" t="n">
        <x:v>0</x:v>
      </x:c>
      <x:c r="K12" s="88" t="str">
        <x:v>—</x:v>
      </x:c>
      <x:c r="L12" s="88" t="str">
        <x:v>1 小时 30 分钟</x:v>
      </x:c>
      <x:c r="M12" s="89" t="n">
        <x:v>2070</x:v>
      </x:c>
      <x:c r="N12" s="89" t="n">
        <x:v>0</x:v>
      </x:c>
      <x:c r="O12" s="89" t="n">
        <x:f>M12+N12</x:f>
        <x:v>2070</x:v>
      </x:c>
      <x:c r="P12" s="88" t="str">
        <x:f>IF(O12&lt;5000,"是","否")</x:f>
        <x:v>是</x:v>
      </x:c>
      <x:c r="Q12" s="90" t="str">
        <x:v>国内经济舱通常含20kg；出票前须按实际票价等级复核</x:v>
      </x:c>
      <x:c r="R12" s="90" t="str">
        <x:v>该去程对应的最低可订返程组合；具体返程航班需打开来源链接确认</x:v>
      </x:c>
      <x:c r="S12" s="91" t="n">
        <x:v>46267.746869710645</x:v>
      </x:c>
      <x:c r="T12" s="92" t="str">
        <x:v>https://www.google.com/travel/flights?hl=zh-CN&amp;curr=CNY&amp;q=Flights%20from%20Chongqing%20to%20Lijiang%20from%202026-10-04%20to%202026-10-08</x:v>
      </x:c>
      <x:c r="U12" s="136" t="n">
        <x:v>46303</x:v>
      </x:c>
      <x:c r="V12" s="90" t="str">
        <x:v>12:00</x:v>
      </x:c>
      <x:c r="W12" s="90" t="str">
        <x:v>丽江三义机场</x:v>
      </x:c>
      <x:c r="X12" s="137" t="n">
        <x:v>46303</x:v>
      </x:c>
      <x:c r="Y12" s="90" t="str">
        <x:v>19:20</x:v>
      </x:c>
      <x:c r="Z12" s="90" t="str">
        <x:v>重庆江北国际机场</x:v>
      </x:c>
      <x:c r="AA12" s="90" t="str">
        <x:v>吉祥航空</x:v>
      </x:c>
      <x:c r="AB12" s="90" t="n">
        <x:v>1</x:v>
      </x:c>
      <x:c r="AC12" s="90" t="str">
        <x:v>7 小时 20 分钟</x:v>
      </x:c>
      <x:c r="AD12" s="138"/>
      <x:c r="AE12" s="90" t="str">
        <x:v>当前返程列表无价格，采用排序第一条</x:v>
      </x:c>
      <x:c r="AF12" s="92" t="str">
        <x:v>https://www.google.com/travel/flights/search?tfs=CBwQAhpMEgoyMDI2LTEwLTA0IiAKA0NLRxIKMjAyNi0xMC0wNBoDTEpHKgIzVTIEODAxMWoNCAISCS9tLzAxNzIzNnINCAISCS9tLzAyZnE0axoqEgoyMDI2LTEwLTA4ag0IAhIJL20vMDJmcTRrcg0IAhIJL20vMDE3MjM2QAFIAXABggELCP___________wGYAQE&amp;tfu=ClhDalJJYjBOd1MydElWbTlpTW1OQlJIazRhMmRDUnkwdExTMHRMWE50WTNkck55MXVNa0ZCUVVGQlIzRlpSSEpSVEVKMWVubEJFZ1l6VlRnd01URTRIQT09EgYIACACKAEiAwoBMA&amp;hl=zh-CN&amp;curr=CNY</x:v>
      </x:c>
    </x:row>
    <x:row r="13" ht="42" customHeight="1">
      <x:c r="A13" s="85" t="n">
        <x:f>ROW()-7</x:f>
        <x:v>6</x:v>
      </x:c>
      <x:c r="B13" s="86" t="n">
        <x:v>46298</x:v>
      </x:c>
      <x:c r="C13" s="86" t="n">
        <x:v>46304</x:v>
      </x:c>
      <x:c r="D13" s="87" t="n">
        <x:v>6</x:v>
      </x:c>
      <x:c r="E13" s="88" t="str">
        <x:v>中国西部航空</x:v>
      </x:c>
      <x:c r="F13" s="88" t="str">
        <x:v>06:25</x:v>
      </x:c>
      <x:c r="G13" s="88" t="str">
        <x:v>08:10</x:v>
      </x:c>
      <x:c r="H13" s="88" t="str">
        <x:v>重庆江北国际机场</x:v>
      </x:c>
      <x:c r="I13" s="88" t="str">
        <x:v>丽江三义机场</x:v>
      </x:c>
      <x:c r="J13" s="88" t="n">
        <x:v>0</x:v>
      </x:c>
      <x:c r="K13" s="88" t="str">
        <x:v>—</x:v>
      </x:c>
      <x:c r="L13" s="88" t="str">
        <x:v>1 小时 45 分钟</x:v>
      </x:c>
      <x:c r="M13" s="89" t="n">
        <x:v>1322</x:v>
      </x:c>
      <x:c r="N13" s="89" t="n">
        <x:v>800</x:v>
      </x:c>
      <x:c r="O13" s="89" t="n">
        <x:f>M13+N13</x:f>
        <x:v>2122</x:v>
      </x:c>
      <x:c r="P13" s="88" t="str">
        <x:f>IF(O13&lt;5000,"是","否")</x:f>
        <x:v>是</x:v>
      </x:c>
      <x:c r="Q13" s="90" t="str">
        <x:v>差异化行李票价等级未知；按每程20kg最多¥400、往返保守预留¥800</x:v>
      </x:c>
      <x:c r="R13" s="90" t="str">
        <x:v>该去程对应的最低可订返程组合；具体返程航班需打开来源链接确认</x:v>
      </x:c>
      <x:c r="S13" s="91" t="n">
        <x:v>46267.746869710645</x:v>
      </x:c>
      <x:c r="T13" s="92" t="str">
        <x:v>https://www.google.com/travel/flights?hl=zh-CN&amp;curr=CNY&amp;q=Flights%20from%20Chongqing%20to%20Lijiang%20from%202026-10-03%20to%202026-10-09</x:v>
      </x:c>
      <x:c r="U13" s="136" t="n">
        <x:v>46304</x:v>
      </x:c>
      <x:c r="V13" s="90" t="str">
        <x:v>22:15</x:v>
      </x:c>
      <x:c r="W13" s="90" t="str">
        <x:v>丽江三义机场</x:v>
      </x:c>
      <x:c r="X13" s="137" t="n">
        <x:v>46304</x:v>
      </x:c>
      <x:c r="Y13" s="90" t="str">
        <x:v>23:50</x:v>
      </x:c>
      <x:c r="Z13" s="90" t="str">
        <x:v>重庆江北国际机场</x:v>
      </x:c>
      <x:c r="AA13" s="90" t="str">
        <x:v>中国西部航空</x:v>
      </x:c>
      <x:c r="AB13" s="90" t="n">
        <x:v>0</x:v>
      </x:c>
      <x:c r="AC13" s="90" t="str">
        <x:v>1 小时 35 分钟</x:v>
      </x:c>
      <x:c r="AD13" s="138"/>
      <x:c r="AE13" s="90" t="str">
        <x:v>当前返程列表无价格，采用排序第一条</x:v>
      </x:c>
      <x:c r="AF13" s="92" t="str">
        <x:v>https://www.google.com/travel/flights/search?tfs=CBwQAhpMEgoyMDI2LTEwLTAzIiAKA0NLRxIKMjAyNi0xMC0wMxoDTEpHKgJQTjIENjI2MWoNCAISCS9tLzAxNzIzNnINCAISCS9tLzAyZnE0axoqEgoyMDI2LTEwLTA5ag0IAhIJL20vMDJmcTRrcg0IAhIJL20vMDE3MjM2QAFIAXABggELCP___________wGYAQE&amp;tfu=CmxDalJJYjBKcmNXbDVMVVZwVWtGQlJIZEdiSGRDUnkwdExTMHRMUzB0TFhOdGNHUXlNVUZCUVVGQlIzRlpSRmgzVFdkTUxXRkJFZ1pRVGpZeU5qRWFDZ2lxQ2hBQUdnTkRUbGs0SEhEV21RRT0SAggAIgA&amp;hl=zh-CN&amp;curr=CNY</x:v>
      </x:c>
    </x:row>
    <x:row r="14" ht="42" customHeight="1">
      <x:c r="A14" s="85" t="n">
        <x:f>ROW()-7</x:f>
        <x:v>7</x:v>
      </x:c>
      <x:c r="B14" s="86" t="n">
        <x:v>46297</x:v>
      </x:c>
      <x:c r="C14" s="86" t="n">
        <x:v>46301</x:v>
      </x:c>
      <x:c r="D14" s="87" t="n">
        <x:v>4</x:v>
      </x:c>
      <x:c r="E14" s="88" t="str">
        <x:v>东航</x:v>
      </x:c>
      <x:c r="F14" s="88" t="str">
        <x:v>21:20</x:v>
      </x:c>
      <x:c r="G14" s="88" t="str">
        <x:v>22:50</x:v>
      </x:c>
      <x:c r="H14" s="88" t="str">
        <x:v>重庆江北国际机场</x:v>
      </x:c>
      <x:c r="I14" s="88" t="str">
        <x:v>丽江三义机场</x:v>
      </x:c>
      <x:c r="J14" s="88" t="n">
        <x:v>0</x:v>
      </x:c>
      <x:c r="K14" s="88" t="str">
        <x:v>—</x:v>
      </x:c>
      <x:c r="L14" s="88" t="str">
        <x:v>1 小时 30 分钟</x:v>
      </x:c>
      <x:c r="M14" s="89" t="n">
        <x:v>2137</x:v>
      </x:c>
      <x:c r="N14" s="89" t="n">
        <x:v>0</x:v>
      </x:c>
      <x:c r="O14" s="89" t="n">
        <x:f>M14+N14</x:f>
        <x:v>2137</x:v>
      </x:c>
      <x:c r="P14" s="88" t="str">
        <x:f>IF(O14&lt;5000,"是","否")</x:f>
        <x:v>是</x:v>
      </x:c>
      <x:c r="Q14" s="90" t="str">
        <x:v>国内经济舱通常含20kg；出票前须按实际票价等级复核</x:v>
      </x:c>
      <x:c r="R14" s="90" t="str">
        <x:v>该去程对应的最低可订返程组合；具体返程航班需打开来源链接确认</x:v>
      </x:c>
      <x:c r="S14" s="91" t="n">
        <x:v>46267.746869710645</x:v>
      </x:c>
      <x:c r="T14" s="92" t="str">
        <x:v>https://www.google.com/travel/flights?hl=zh-CN&amp;curr=CNY&amp;q=Flights%20from%20Chongqing%20to%20Lijiang%20from%202026-10-02%20to%202026-10-06</x:v>
      </x:c>
      <x:c r="U14" s="136" t="n">
        <x:v>46301</x:v>
      </x:c>
      <x:c r="V14" s="90" t="str">
        <x:v>23:35</x:v>
      </x:c>
      <x:c r="W14" s="90" t="str">
        <x:v>丽江三义机场</x:v>
      </x:c>
      <x:c r="X14" s="137" t="n">
        <x:v>46302</x:v>
      </x:c>
      <x:c r="Y14" s="90" t="str">
        <x:v>01:20</x:v>
      </x:c>
      <x:c r="Z14" s="90" t="str">
        <x:v>重庆江北国际机场</x:v>
      </x:c>
      <x:c r="AA14" s="90" t="str">
        <x:v>东航</x:v>
      </x:c>
      <x:c r="AB14" s="90" t="n">
        <x:v>0</x:v>
      </x:c>
      <x:c r="AC14" s="90" t="str">
        <x:v>1 小时 45 分钟</x:v>
      </x:c>
      <x:c r="AD14" s="138" t="n">
        <x:v>2137</x:v>
      </x:c>
      <x:c r="AE14" s="90" t="str">
        <x:v>匹配原始往返起价</x:v>
      </x:c>
      <x:c r="AF14" s="92" t="str">
        <x:v>https://www.google.com/travel/flights/search?tfs=CBwQAhpMEgoyMDI2LTEwLTAyIiAKA0NLRxIKMjAyNi0xMC0wMhoDTEpHKgJNVTIEMzM3MWoNCAISCS9tLzAxNzIzNnINCAISCS9tLzAyZnE0axoqEgoyMDI2LTEwLTA2ag0IAhIJL20vMDJmcTRrcg0IAhIJL20vMDE3MjM2QAFIAXABggELCP___________wGYAQE&amp;tfu=CmxDalJJYTBKcFduQjNPRU4zUjFGQlJYVkdha0ZDUnkwdExTMHRMWE5sY0dReE1TMXVNVUZCUVVGQlIzRlpSRmgzVFdKUllrZEJFZ1pOVlRNek56RWFDZ2paRUJBQUdnTkRUbGs0SEhDMStBRT0SAggAIgA&amp;hl=zh-CN&amp;curr=CNY</x:v>
      </x:c>
    </x:row>
    <x:row r="15" ht="42" customHeight="1">
      <x:c r="A15" s="85" t="n">
        <x:f>ROW()-7</x:f>
        <x:v>8</x:v>
      </x:c>
      <x:c r="B15" s="86" t="n">
        <x:v>46298</x:v>
      </x:c>
      <x:c r="C15" s="86" t="n">
        <x:v>46304</x:v>
      </x:c>
      <x:c r="D15" s="87" t="n">
        <x:v>6</x:v>
      </x:c>
      <x:c r="E15" s="88" t="str">
        <x:v>祥鹏航空</x:v>
      </x:c>
      <x:c r="F15" s="88" t="str">
        <x:v>16:25</x:v>
      </x:c>
      <x:c r="G15" s="88" t="str">
        <x:v>18:05</x:v>
      </x:c>
      <x:c r="H15" s="88" t="str">
        <x:v>重庆江北国际机场</x:v>
      </x:c>
      <x:c r="I15" s="88" t="str">
        <x:v>丽江三义机场</x:v>
      </x:c>
      <x:c r="J15" s="88" t="n">
        <x:v>0</x:v>
      </x:c>
      <x:c r="K15" s="88" t="str">
        <x:v>—</x:v>
      </x:c>
      <x:c r="L15" s="88" t="str">
        <x:v>1 小时 40 分钟</x:v>
      </x:c>
      <x:c r="M15" s="89" t="n">
        <x:v>1400</x:v>
      </x:c>
      <x:c r="N15" s="89" t="n">
        <x:v>800</x:v>
      </x:c>
      <x:c r="O15" s="89" t="n">
        <x:f>M15+N15</x:f>
        <x:v>2200</x:v>
      </x:c>
      <x:c r="P15" s="88" t="str">
        <x:f>IF(O15&lt;5000,"是","否")</x:f>
        <x:v>是</x:v>
      </x:c>
      <x:c r="Q15" s="90" t="str">
        <x:v>差异化行李票价等级未知；按每程20kg最多¥400、往返保守预留¥800</x:v>
      </x:c>
      <x:c r="R15" s="90" t="str">
        <x:v>该去程对应的最低可订返程组合；具体返程航班需打开来源链接确认</x:v>
      </x:c>
      <x:c r="S15" s="91" t="n">
        <x:v>46267.746869710645</x:v>
      </x:c>
      <x:c r="T15" s="92" t="str">
        <x:v>https://www.google.com/travel/flights?hl=zh-CN&amp;curr=CNY&amp;q=Flights%20from%20Chongqing%20to%20Lijiang%20from%202026-10-03%20to%202026-10-09</x:v>
      </x:c>
      <x:c r="U15" s="136"/>
      <x:c r="V15" s="90"/>
      <x:c r="W15" s="90"/>
      <x:c r="X15" s="137"/>
      <x:c r="Y15" s="90"/>
      <x:c r="Z15" s="90"/>
      <x:c r="AA15" s="90"/>
      <x:c r="AB15" s="90"/>
      <x:c r="AC15" s="90"/>
      <x:c r="AD15" s="138"/>
      <x:c r="AE15" s="90" t="str">
        <x:v>去程当前未找到，返程待核验</x:v>
      </x:c>
      <x:c r="AF15" s="92" t="str">
        <x:v>https://www.google.com/travel/flights/search?tfs=CBwQAhpMEgoyMDI2LTEwLTAzIiAKA0NLRxIKMjAyNi0xMC0wMxoDTEpHKgI4TDIEOTgxOGoNCAISCS9tLzAxNzIzNnINCAISCS9tLzAyZnE0axoqEgoyMDI2LTEwLTA5ag0IAhIJL20vMDJmcTRrcg0IAhIJL20vMDE3MjM2QAFIAXABggELCP___________wGYAQE&amp;tfu=CmxDalJJTjI1cVh5MTFabXBWVjI5QlJXMWFWMEZDUnkwdExTMHRMWE5sZEc0eU5pMXVNVUZCUVVGQlIzRlpSRmd3UVVSMk4yVkJFZ1k0VERrNE1UZ2FDZ2pSQ2hBQUdnTkRUbGs0SEhDYW5nRT0SAggAIgMKATA&amp;hl=zh-CN&amp;curr=CNY</x:v>
      </x:c>
    </x:row>
    <x:row r="16" ht="42" customHeight="1">
      <x:c r="A16" s="85" t="n">
        <x:f>ROW()-7</x:f>
        <x:v>9</x:v>
      </x:c>
      <x:c r="B16" s="86" t="n">
        <x:v>46299</x:v>
      </x:c>
      <x:c r="C16" s="86" t="n">
        <x:v>46303</x:v>
      </x:c>
      <x:c r="D16" s="87" t="n">
        <x:v>4</x:v>
      </x:c>
      <x:c r="E16" s="88" t="str">
        <x:v>中国西部航空</x:v>
      </x:c>
      <x:c r="F16" s="88" t="str">
        <x:v>20:00</x:v>
      </x:c>
      <x:c r="G16" s="88" t="str">
        <x:v>21:40</x:v>
      </x:c>
      <x:c r="H16" s="88" t="str">
        <x:v>重庆江北国际机场</x:v>
      </x:c>
      <x:c r="I16" s="88" t="str">
        <x:v>丽江三义机场</x:v>
      </x:c>
      <x:c r="J16" s="88" t="n">
        <x:v>0</x:v>
      </x:c>
      <x:c r="K16" s="88" t="str">
        <x:v>—</x:v>
      </x:c>
      <x:c r="L16" s="88" t="str">
        <x:v>1 小时 40 分钟</x:v>
      </x:c>
      <x:c r="M16" s="89" t="n">
        <x:v>1450</x:v>
      </x:c>
      <x:c r="N16" s="89" t="n">
        <x:v>800</x:v>
      </x:c>
      <x:c r="O16" s="89" t="n">
        <x:f>M16+N16</x:f>
        <x:v>2250</x:v>
      </x:c>
      <x:c r="P16" s="88" t="str">
        <x:f>IF(O16&lt;5000,"是","否")</x:f>
        <x:v>是</x:v>
      </x:c>
      <x:c r="Q16" s="90" t="str">
        <x:v>差异化行李票价等级未知；按每程20kg最多¥400、往返保守预留¥800</x:v>
      </x:c>
      <x:c r="R16" s="90" t="str">
        <x:v>该去程对应的最低可订返程组合；具体返程航班需打开来源链接确认</x:v>
      </x:c>
      <x:c r="S16" s="91" t="n">
        <x:v>46267.746869710645</x:v>
      </x:c>
      <x:c r="T16" s="92" t="str">
        <x:v>https://www.google.com/travel/flights?hl=zh-CN&amp;curr=CNY&amp;q=Flights%20from%20Chongqing%20to%20Lijiang%20from%202026-10-04%20to%202026-10-08</x:v>
      </x:c>
      <x:c r="U16" s="136" t="n">
        <x:v>46303</x:v>
      </x:c>
      <x:c r="V16" s="90" t="str">
        <x:v>09:15</x:v>
      </x:c>
      <x:c r="W16" s="90" t="str">
        <x:v>丽江三义机场</x:v>
      </x:c>
      <x:c r="X16" s="137" t="n">
        <x:v>46303</x:v>
      </x:c>
      <x:c r="Y16" s="90" t="str">
        <x:v>10:55</x:v>
      </x:c>
      <x:c r="Z16" s="90" t="str">
        <x:v>重庆江北国际机场</x:v>
      </x:c>
      <x:c r="AA16" s="90" t="str">
        <x:v>中国西部航空</x:v>
      </x:c>
      <x:c r="AB16" s="90" t="n">
        <x:v>0</x:v>
      </x:c>
      <x:c r="AC16" s="90" t="str">
        <x:v>1 小时 40 分钟</x:v>
      </x:c>
      <x:c r="AD16" s="138"/>
      <x:c r="AE16" s="90" t="str">
        <x:v>当前返程列表无价格，采用排序第一条</x:v>
      </x:c>
      <x:c r="AF16" s="92" t="str">
        <x:v>https://www.google.com/travel/flights/search?tfs=CBwQAhpMEgoyMDI2LTEwLTA0IiAKA0NLRxIKMjAyNi0xMC0wNBoDTEpHKgJQTjIENjIzOWoNCAISCS9tLzAxNzIzNnINCAISCS9tLzAyZnE0axoqEgoyMDI2LTEwLTA4ag0IAhIJL20vMDJmcTRrcg0IAhIJL20vMDE3MjM2QAFIAXABggELCP___________wGYAQE&amp;tfu=ClhDalJJTlU5V1JHUmlTbE5GWkVsQlEyUlBla0ZDUnkwdExTMHRMUzB0YzJWaVluRXlOa0ZCUVVGQlIzRlpSRmxqUVZKNGEzTkJFZ1pRVGpZeU16azRIQT09EgIIACIA&amp;hl=zh-CN&amp;curr=CNY</x:v>
      </x:c>
    </x:row>
    <x:row r="17" ht="42" customHeight="1">
      <x:c r="A17" s="93" t="n">
        <x:f>ROW()-7</x:f>
        <x:v>10</x:v>
      </x:c>
      <x:c r="B17" s="94" t="n">
        <x:v>46298</x:v>
      </x:c>
      <x:c r="C17" s="94" t="n">
        <x:v>46303</x:v>
      </x:c>
      <x:c r="D17" s="95" t="n">
        <x:v>5</x:v>
      </x:c>
      <x:c r="E17" s="96" t="str">
        <x:v>中国西部航空</x:v>
      </x:c>
      <x:c r="F17" s="96" t="str">
        <x:v>19:45</x:v>
      </x:c>
      <x:c r="G17" s="96" t="str">
        <x:v>21:30</x:v>
      </x:c>
      <x:c r="H17" s="96" t="str">
        <x:v>重庆江北国际机场</x:v>
      </x:c>
      <x:c r="I17" s="96" t="str">
        <x:v>丽江三义机场</x:v>
      </x:c>
      <x:c r="J17" s="96" t="n">
        <x:v>0</x:v>
      </x:c>
      <x:c r="K17" s="96" t="str">
        <x:v>—</x:v>
      </x:c>
      <x:c r="L17" s="96" t="str">
        <x:v>1 小时 45 分钟</x:v>
      </x:c>
      <x:c r="M17" s="97" t="n">
        <x:v>1489</x:v>
      </x:c>
      <x:c r="N17" s="97" t="n">
        <x:v>800</x:v>
      </x:c>
      <x:c r="O17" s="97" t="n">
        <x:f>M17+N17</x:f>
        <x:v>2289</x:v>
      </x:c>
      <x:c r="P17" s="96" t="str">
        <x:f>IF(O17&lt;5000,"是","否")</x:f>
        <x:v>是</x:v>
      </x:c>
      <x:c r="Q17" s="98" t="str">
        <x:v>差异化行李票价等级未知；按每程20kg最多¥400、往返保守预留¥800</x:v>
      </x:c>
      <x:c r="R17" s="98" t="str">
        <x:v>该去程对应的最低可订返程组合；具体返程航班需打开来源链接确认</x:v>
      </x:c>
      <x:c r="S17" s="99" t="n">
        <x:v>46267.746869710645</x:v>
      </x:c>
      <x:c r="T17" s="100" t="str">
        <x:v>https://www.google.com/travel/flights?hl=zh-CN&amp;curr=CNY&amp;q=Flights%20from%20Chongqing%20to%20Lijiang%20from%202026-10-03%20to%202026-10-08</x:v>
      </x:c>
      <x:c r="U17" s="139" t="n">
        <x:v>46303</x:v>
      </x:c>
      <x:c r="V17" s="98" t="str">
        <x:v>09:15</x:v>
      </x:c>
      <x:c r="W17" s="98" t="str">
        <x:v>丽江三义机场</x:v>
      </x:c>
      <x:c r="X17" s="140" t="n">
        <x:v>46303</x:v>
      </x:c>
      <x:c r="Y17" s="98" t="str">
        <x:v>10:55</x:v>
      </x:c>
      <x:c r="Z17" s="98" t="str">
        <x:v>重庆江北国际机场</x:v>
      </x:c>
      <x:c r="AA17" s="98" t="str">
        <x:v>中国西部航空</x:v>
      </x:c>
      <x:c r="AB17" s="98" t="n">
        <x:v>0</x:v>
      </x:c>
      <x:c r="AC17" s="98" t="str">
        <x:v>1 小时 40 分钟</x:v>
      </x:c>
      <x:c r="AD17" s="141"/>
      <x:c r="AE17" s="98" t="str">
        <x:v>当前返程列表无价格，采用排序第一条</x:v>
      </x:c>
      <x:c r="AF17" s="100" t="str">
        <x:v>https://www.google.com/travel/flights/search?tfs=CBwQAhpMEgoyMDI2LTEwLTAzIiAKA0NLRxIKMjAyNi0xMC0wMxoDTEpHKgJQTjIENjIzOWoNCAISCS9tLzAxNzIzNnINCAISCS9tLzAyZnE0axoqEgoyMDI2LTEwLTA4ag0IAhIJL20vMDJmcTRrcg0IAhIJL20vMDE3MjM2QAFIAXABggELCP___________wGYAQE&amp;tfu=ClhDalJJYjBOd1MydElWbTlpTW1OQlJIaGFUbWRDUnkwdExTMHRMWE50WTNkck55MXVNa0ZCUVVGQlIzRlpSRmxqUkhNM1FtMUJFZ1pRVGpZeU16azRIQT09EgIIACIA&amp;hl=zh-CN&amp;curr=CNY</x:v>
      </x:c>
    </x:row>
  </x:sheetData>
  <x:mergeCells>
    <x:mergeCell ref="A1:AF1"/>
    <x:mergeCell ref="A2:AF2"/>
    <x:mergeCell ref="A4:AF4"/>
    <x:mergeCell ref="A5:AF5"/>
  </x:mergeCells>
  <x:conditionalFormatting sqref="O8:O17">
    <x:cfRule type="cellIs" dxfId="6" priority="1" operator="lessThanOrEqual">
      <x:formula>3500</x:formula>
    </x:cfRule>
    <x:cfRule type="cellIs" dxfId="7" priority="2" operator="greaterThanOrEqual">
      <x:formula>4500</x:formula>
    </x:cfRule>
  </x:conditionalFormatting>
  <x:conditionalFormatting sqref="AE8:AE17">
    <x:cfRule type="containsText" dxfId="23" priority="3" operator="containsText" text="匹配原始"/>
    <x:cfRule type="containsText" dxfId="24" priority="4" operator="containsText" text="价格已变化"/>
    <x:cfRule type="containsText" dxfId="25" priority="5" operator="containsText" text="无价格"/>
    <x:cfRule type="containsText" dxfId="26" priority="6" operator="containsText" text="待核验"/>
    <x:cfRule type="containsText" dxfId="27" priority="7" operator="containsText" text="失败"/>
  </x:conditionalFormatting>
  <x:pageMargins left="0.7" right="0.7" top="0.75" bottom="0.75" header="0.3" footer="0.3"/>
  <x:tableParts count="2">
    <x:tablePart xmlns:r="http://schemas.openxmlformats.org/officeDocument/2006/relationships" r:id="Rd40619c4610f47bc"/>
    <x:tablePart xmlns:r="http://schemas.openxmlformats.org/officeDocument/2006/relationships" r:id="Raf430ae16a6e4dd3"/>
  </x:tableParts>
</x:worksheet>
</file>