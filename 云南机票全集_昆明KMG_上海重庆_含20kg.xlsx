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05a491f31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海全集" sheetId="1" r:id="R1b20871f87bc4de2"/>
    <x:sheet xmlns:r="http://schemas.openxmlformats.org/officeDocument/2006/relationships" name="上海TOP10" sheetId="2" r:id="R8c92ce926d9a447e"/>
    <x:sheet xmlns:r="http://schemas.openxmlformats.org/officeDocument/2006/relationships" name="重庆全集" sheetId="3" r:id="R03d3c466cc38498a"/>
    <x:sheet xmlns:r="http://schemas.openxmlformats.org/officeDocument/2006/relationships" name="重庆TOP10" sheetId="4" r:id="Rbbb2f136756b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"/>
    <x:numFmt numFmtId="201" formatCode="yyyy-mm-dd hh:mm"/>
    <x:numFmt numFmtId="202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042"/>
      <x:name val="Carlito"/>
    </x:font>
    <x:font>
      <x:b/>
      <x:sz val="11"/>
      <x:color rgb="FF173042"/>
      <x:name val="Carlito"/>
    </x:font>
    <x:font>
      <x:sz val="11"/>
      <x:color rgb="FF6B4E00"/>
      <x:name val="Carlito"/>
    </x:font>
    <x:font>
      <x:sz val="9"/>
      <x:color rgb="FF475569"/>
      <x:name val="Carlito"/>
    </x:font>
    <x:font>
      <x:b/>
      <x:sz val="11"/>
      <x:color rgb="FFFFFFFF"/>
      <x:name val="Carlito"/>
    </x:font>
    <x:font>
      <x:b/>
      <x:sz val="16"/>
      <x:color rgb="FFFFFFFF"/>
      <x:name val="Noto Sans CJK SC"/>
    </x:font>
    <x:font>
      <x:i/>
      <x:sz val="11"/>
      <x:color rgb="FF173042"/>
      <x:name val="Noto Sans CJK SC"/>
    </x:font>
    <x:font>
      <x:b/>
      <x:sz val="11"/>
      <x:color rgb="FF173042"/>
      <x:name val="Noto Sans CJK SC"/>
    </x:font>
    <x:font>
      <x:sz val="11"/>
      <x:name val="Noto Sans CJK SC"/>
    </x:font>
    <x:font>
      <x:sz val="11"/>
      <x:color rgb="FF6B4E00"/>
      <x:name val="Noto Sans CJK SC"/>
    </x:font>
    <x:font>
      <x:sz val="9"/>
      <x:color rgb="FF475569"/>
      <x:name val="Noto Sans CJK SC"/>
    </x:font>
    <x:font>
      <x:b/>
      <x:sz val="11"/>
      <x:color rgb="FFFFFFFF"/>
      <x:name val="Noto Sans CJK SC"/>
    </x:font>
  </x:fonts>
  <x:fills count="13">
    <x:fill>
      <x:patternFill patternType="none"/>
    </x:fill>
    <x:fill>
      <x:patternFill patternType="gray125"/>
    </x:fill>
    <x:fill>
      <x:patternFill patternType="solid">
        <x:fgColor rgb="FF123B46"/>
      </x:patternFill>
    </x:fill>
    <x:fill>
      <x:patternFill patternType="solid">
        <x:fgColor rgb="FFDDF4EF"/>
      </x:patternFill>
    </x:fill>
    <x:fill>
      <x:patternFill patternType="solid">
        <x:fgColor rgb="FFF4F8F7"/>
      </x:patternFill>
    </x:fill>
    <x:fill>
      <x:patternFill patternType="solid">
        <x:fgColor rgb="FFFFF7D6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123B46"/>
      </x:patternFill>
    </x:fill>
    <x:fill>
      <x:patternFill patternType="solid">
        <x:fgColor rgb="FFDDF4EF"/>
      </x:patternFill>
    </x:fill>
    <x:fill>
      <x:patternFill patternType="solid">
        <x:fgColor rgb="FFFFF7D6"/>
      </x:patternFill>
    </x:fill>
    <x:fill>
      <x:patternFill patternType="solid">
        <x:fgColor rgb="FFF8FAFC"/>
      </x:patternFill>
    </x:fill>
    <x:fill>
      <x:patternFill patternType="solid">
        <x:fgColor rgb="FF155E75"/>
      </x:patternFill>
    </x:fill>
  </x:fills>
  <x:borders count="16">
    <x:border/>
    <x:border>
      <x:left style="thin">
        <x:color rgb="FF0A5E58"/>
      </x:left>
      <x:top style="thin">
        <x:color rgb="FF0A5E58"/>
      </x:top>
      <x:bottom style="thin">
        <x:color rgb="FF0A5E58"/>
      </x:bottom>
    </x:border>
    <x:border>
      <x:top style="thin">
        <x:color rgb="FF0A5E58"/>
      </x:top>
      <x:bottom style="thin">
        <x:color rgb="FF0A5E58"/>
      </x:bottom>
    </x:border>
    <x:border>
      <x:right style="thin">
        <x:color rgb="FF0A5E58"/>
      </x:right>
      <x:top style="thin">
        <x:color rgb="FF0A5E58"/>
      </x:top>
      <x:bottom style="thin">
        <x:color rgb="FF0A5E58"/>
      </x:bottom>
    </x:border>
    <x:border>
      <x:right style="thin">
        <x:color rgb="FFD7E3E0"/>
      </x:right>
      <x:bottom style="thin">
        <x:color rgb="FFD7E3E0"/>
      </x:bottom>
    </x:border>
    <x:border>
      <x:left style="thin">
        <x:color rgb="FFD7E3E0"/>
      </x:left>
      <x:right style="thin">
        <x:color rgb="FFD7E3E0"/>
      </x:right>
      <x:bottom style="thin">
        <x:color rgb="FFD7E3E0"/>
      </x:bottom>
    </x:border>
    <x:border>
      <x:left style="thin">
        <x:color rgb="FFD7E3E0"/>
      </x:left>
      <x:bottom style="thin">
        <x:color rgb="FFD7E3E0"/>
      </x:bottom>
    </x:border>
    <x:border>
      <x:right style="thin">
        <x:color rgb="FFD7E3E0"/>
      </x:right>
      <x:top style="thin">
        <x:color rgb="FFD7E3E0"/>
      </x:top>
      <x:bottom style="thin">
        <x:color rgb="FFD7E3E0"/>
      </x:bottom>
    </x:border>
    <x:border>
      <x:left style="thin">
        <x:color rgb="FFD7E3E0"/>
      </x:left>
      <x:right style="thin">
        <x:color rgb="FFD7E3E0"/>
      </x:right>
      <x:top style="thin">
        <x:color rgb="FFD7E3E0"/>
      </x:top>
      <x:bottom style="thin">
        <x:color rgb="FFD7E3E0"/>
      </x:bottom>
    </x:border>
    <x:border>
      <x:left style="thin">
        <x:color rgb="FFD7E3E0"/>
      </x:left>
      <x:top style="thin">
        <x:color rgb="FFD7E3E0"/>
      </x:top>
      <x:bottom style="thin">
        <x:color rgb="FFD7E3E0"/>
      </x:bottom>
    </x:border>
    <x:border>
      <x:right style="thin">
        <x:color rgb="FFD7E3E0"/>
      </x:right>
      <x:top style="thin">
        <x:color rgb="FFD7E3E0"/>
      </x:top>
    </x:border>
    <x:border>
      <x:left style="thin">
        <x:color rgb="FFD7E3E0"/>
      </x:left>
      <x:right style="thin">
        <x:color rgb="FFD7E3E0"/>
      </x:right>
      <x:top style="thin">
        <x:color rgb="FFD7E3E0"/>
      </x:top>
    </x:border>
    <x:border>
      <x:left style="thin">
        <x:color rgb="FFD7E3E0"/>
      </x:left>
      <x:top style="thin">
        <x:color rgb="FFD7E3E0"/>
      </x:top>
    </x:border>
    <x:border>
      <x:left style="thin">
        <x:color rgb="FF0E4B5E"/>
      </x:left>
      <x:top style="thin">
        <x:color rgb="FF0E4B5E"/>
      </x:top>
      <x:bottom style="thin">
        <x:color rgb="FF0E4B5E"/>
      </x:bottom>
    </x:border>
    <x:border>
      <x:top style="thin">
        <x:color rgb="FF0E4B5E"/>
      </x:top>
      <x:bottom style="thin">
        <x:color rgb="FF0E4B5E"/>
      </x:bottom>
    </x:border>
    <x:border>
      <x:right style="thin">
        <x:color rgb="FF0E4B5E"/>
      </x:right>
      <x:top style="thin">
        <x:color rgb="FF0E4B5E"/>
      </x:top>
      <x:bottom style="thin">
        <x:color rgb="FF0E4B5E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2" xfId="0" applyNumberFormat="1" applyFont="1" applyFill="1" applyBorder="1" applyAlignment="1">
      <x:alignment horizontal="center" wrapText="1"/>
    </x:xf>
    <x:xf numFmtId="0" fontId="6" fillId="7" borderId="3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/>
    <x:xf numFmtId="0" fontId="0" fillId="0" borderId="12" xfId="0" applyNumberFormat="1" applyFont="1" applyFill="1" applyBorder="1" applyAlignment="1">
      <x:alignment wrapText="0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center" vertical="center" wrapText="1"/>
    </x:xf>
    <x:xf numFmtId="0" fontId="13" fillId="7" borderId="3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vertical="center"/>
    </x:xf>
    <x:xf numFmtId="202" fontId="10" fillId="0" borderId="5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 wrapText="1"/>
    </x:xf>
    <x:xf numFmtId="200" fontId="10" fillId="0" borderId="5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wrapText="1"/>
    </x:xf>
    <x:xf numFmtId="201" fontId="10" fillId="0" borderId="5" xfId="0" applyNumberFormat="1" applyFont="1" applyFill="1" applyBorder="1"/>
    <x:xf numFmtId="0" fontId="10" fillId="0" borderId="6" xfId="0" applyNumberFormat="1" applyFont="1" applyFill="1" applyBorder="1" applyAlignment="1">
      <x:alignment wrapText="0"/>
    </x:xf>
    <x:xf numFmtId="0" fontId="10" fillId="0" borderId="7" xfId="0" applyNumberFormat="1" applyFont="1" applyFill="1" applyBorder="1" applyAlignment="1">
      <x:alignment vertical="center"/>
    </x:xf>
    <x:xf numFmtId="202" fontId="10" fillId="0" borderId="8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 wrapText="1"/>
    </x:xf>
    <x:xf numFmtId="200" fontId="10" fillId="0" borderId="8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wrapText="1"/>
    </x:xf>
    <x:xf numFmtId="201" fontId="10" fillId="0" borderId="8" xfId="0" applyNumberFormat="1" applyFont="1" applyFill="1" applyBorder="1"/>
    <x:xf numFmtId="0" fontId="10" fillId="0" borderId="9" xfId="0" applyNumberFormat="1" applyFont="1" applyFill="1" applyBorder="1" applyAlignment="1">
      <x:alignment wrapText="0"/>
    </x:xf>
    <x:xf numFmtId="0" fontId="10" fillId="0" borderId="10" xfId="0" applyNumberFormat="1" applyFont="1" applyFill="1" applyBorder="1" applyAlignment="1">
      <x:alignment vertical="center"/>
    </x:xf>
    <x:xf numFmtId="202" fontId="10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 wrapText="1"/>
    </x:xf>
    <x:xf numFmtId="200" fontId="10" fillId="0" borderId="11" xfId="0" applyNumberFormat="1" applyFont="1" applyFill="1" applyBorder="1" applyAlignment="1">
      <x:alignment vertical="center" wrapText="1"/>
    </x:xf>
    <x:xf numFmtId="0" fontId="10" fillId="0" borderId="11" xfId="0" applyNumberFormat="1" applyFont="1" applyFill="1" applyBorder="1" applyAlignment="1">
      <x:alignment wrapText="1"/>
    </x:xf>
    <x:xf numFmtId="201" fontId="10" fillId="0" borderId="11" xfId="0" applyNumberFormat="1" applyFont="1" applyFill="1" applyBorder="1"/>
    <x:xf numFmtId="0" fontId="10" fillId="0" borderId="12" xfId="0" applyNumberFormat="1" applyFont="1" applyFill="1" applyBorder="1" applyAlignment="1">
      <x:alignment wrapText="0"/>
    </x:xf>
    <x:xf numFmtId="0" fontId="7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13" xfId="0" applyNumberFormat="1" applyFont="1" applyFill="1" applyBorder="1"/>
    <x:xf numFmtId="0" fontId="13" fillId="12" borderId="14" xfId="0" applyNumberFormat="1" applyFont="1" applyFill="1" applyBorder="1"/>
    <x:xf numFmtId="0" fontId="13" fillId="12" borderId="15" xfId="0" applyNumberFormat="1" applyFont="1" applyFill="1" applyBorder="1"/>
    <x:xf numFmtId="0" fontId="13" fillId="12" borderId="13" xfId="0" applyNumberFormat="1" applyFont="1" applyFill="1" applyBorder="1" applyAlignment="1">
      <x:alignment wrapText="1"/>
    </x:xf>
    <x:xf numFmtId="0" fontId="13" fillId="12" borderId="14" xfId="0" applyNumberFormat="1" applyFont="1" applyFill="1" applyBorder="1" applyAlignment="1">
      <x:alignment wrapText="1"/>
    </x:xf>
    <x:xf numFmtId="0" fontId="13" fillId="12" borderId="15" xfId="0" applyNumberFormat="1" applyFont="1" applyFill="1" applyBorder="1" applyAlignment="1">
      <x:alignment wrapText="1"/>
    </x:xf>
    <x:xf numFmtId="0" fontId="13" fillId="12" borderId="13" xfId="0" applyNumberFormat="1" applyFont="1" applyFill="1" applyBorder="1" applyAlignment="1">
      <x:alignment horizontal="center" wrapText="1"/>
    </x:xf>
    <x:xf numFmtId="0" fontId="13" fillId="12" borderId="14" xfId="0" applyNumberFormat="1" applyFont="1" applyFill="1" applyBorder="1" applyAlignment="1">
      <x:alignment horizontal="center" wrapText="1"/>
    </x:xf>
    <x:xf numFmtId="0" fontId="13" fillId="12" borderId="15" xfId="0" applyNumberFormat="1" applyFont="1" applyFill="1" applyBorder="1" applyAlignment="1">
      <x:alignment horizontal="center" wrapText="1"/>
    </x:xf>
    <x:xf numFmtId="0" fontId="13" fillId="12" borderId="13" xfId="0" applyNumberFormat="1" applyFont="1" applyFill="1" applyBorder="1" applyAlignment="1">
      <x:alignment horizontal="center" vertical="center" wrapText="1"/>
    </x:xf>
    <x:xf numFmtId="0" fontId="13" fillId="12" borderId="14" xfId="0" applyNumberFormat="1" applyFont="1" applyFill="1" applyBorder="1" applyAlignment="1">
      <x:alignment horizontal="center" vertical="center" wrapText="1"/>
    </x:xf>
    <x:xf numFmtId="0" fontId="13" fillId="12" borderId="1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0"/>
    </x:xf>
    <x:xf numFmtId="202" fontId="10" fillId="0" borderId="4" xfId="0" applyNumberFormat="1" applyFont="1" applyFill="1" applyBorder="1" applyAlignment="1">
      <x:alignment wrapText="1"/>
    </x:xf>
    <x:xf numFmtId="202" fontId="10" fillId="0" borderId="5" xfId="0" applyNumberFormat="1" applyFont="1" applyFill="1" applyBorder="1" applyAlignment="1">
      <x:alignment wrapText="1"/>
    </x:xf>
    <x:xf numFmtId="200" fontId="10" fillId="0" borderId="5" xfId="0" applyNumberFormat="1" applyFont="1" applyFill="1" applyBorder="1" applyAlignment="1">
      <x:alignment wrapText="1"/>
    </x:xf>
    <x:xf numFmtId="202" fontId="10" fillId="0" borderId="7" xfId="0" applyNumberFormat="1" applyFont="1" applyFill="1" applyBorder="1" applyAlignment="1">
      <x:alignment wrapText="1"/>
    </x:xf>
    <x:xf numFmtId="202" fontId="10" fillId="0" borderId="8" xfId="0" applyNumberFormat="1" applyFont="1" applyFill="1" applyBorder="1" applyAlignment="1">
      <x:alignment wrapText="1"/>
    </x:xf>
    <x:xf numFmtId="200" fontId="10" fillId="0" borderId="8" xfId="0" applyNumberFormat="1" applyFont="1" applyFill="1" applyBorder="1" applyAlignment="1">
      <x:alignment wrapText="1"/>
    </x:xf>
    <x:xf numFmtId="202" fontId="10" fillId="0" borderId="10" xfId="0" applyNumberFormat="1" applyFont="1" applyFill="1" applyBorder="1" applyAlignment="1">
      <x:alignment wrapText="1"/>
    </x:xf>
    <x:xf numFmtId="202" fontId="10" fillId="0" borderId="11" xfId="0" applyNumberFormat="1" applyFont="1" applyFill="1" applyBorder="1" applyAlignment="1">
      <x:alignment wrapText="1"/>
    </x:xf>
    <x:xf numFmtId="200" fontId="10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28"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def455a15431e" /><Relationship Type="http://schemas.openxmlformats.org/officeDocument/2006/relationships/theme" Target="/xl/theme/theme1.xml" Id="Rf800769021494516" /><Relationship Type="http://schemas.openxmlformats.org/officeDocument/2006/relationships/sharedStrings" Target="/xl/sharedStrings.xml" Id="R923cb0f98363435c" /><Relationship Type="http://schemas.openxmlformats.org/officeDocument/2006/relationships/worksheet" Target="/xl/worksheets/sheet1.xml" Id="R1b20871f87bc4de2" /><Relationship Type="http://schemas.openxmlformats.org/officeDocument/2006/relationships/worksheet" Target="/xl/worksheets/sheet2.xml" Id="R8c92ce926d9a447e" /><Relationship Type="http://schemas.openxmlformats.org/officeDocument/2006/relationships/worksheet" Target="/xl/worksheets/sheet3.xml" Id="R03d3c466cc38498a" /><Relationship Type="http://schemas.openxmlformats.org/officeDocument/2006/relationships/worksheet" Target="/xl/worksheets/sheet4.xml" Id="Rbbb2f136756b442c" /></Relationships>
</file>

<file path=xl/tables/table1.xml><?xml version="1.0" encoding="utf-8"?>
<x:table xmlns:x="http://schemas.openxmlformats.org/spreadsheetml/2006/main" id="1" name="KMG_SHA_All" displayName="KMG_SHA_All" ref="A7:T140" headerRowCount="1" totalsRowCount="0" totalsRowShown="0">
  <x:autoFilter ref="A7:T140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KMG_SHA_All_Return" displayName="KMG_SHA_All_Return" ref="U7:AF140" headerRowCount="1" totalsRowCount="0" totalsRowShown="0">
  <x:autoFilter ref="U7:AF140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KMG_SHA_Top10" displayName="KMG_SHA_Top10" ref="A7:T17" headerRowCount="1" totalsRowCount="0" totalsRowShown="0">
  <x:autoFilter ref="A7:T17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KMG_SHA_Top10_Return" displayName="KMG_SHA_Top10_Return" ref="U7:AF17" headerRowCount="1" totalsRowCount="0" totalsRowShown="0">
  <x:autoFilter ref="U7:AF17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KMG_CKG_All" displayName="KMG_CKG_All" ref="A7:T101" headerRowCount="1" totalsRowCount="0" totalsRowShown="0">
  <x:autoFilter ref="A7:T101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KMG_CKG_All_Return" displayName="KMG_CKG_All_Return" ref="U7:AF101" headerRowCount="1" totalsRowCount="0" totalsRowShown="0">
  <x:autoFilter ref="U7:AF101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KMG_CKG_Top10" displayName="KMG_CKG_Top10" ref="A7:T17" headerRowCount="1" totalsRowCount="0" totalsRowShown="0">
  <x:autoFilter ref="A7:T17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MG_CKG_Top10_Return" displayName="KMG_CKG_Top10_Return" ref="U7:AF17" headerRowCount="1" totalsRowCount="0" totalsRowShown="0">
  <x:autoFilter ref="U7:AF17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fbd6d12bfb4182" /><Relationship Type="http://schemas.openxmlformats.org/officeDocument/2006/relationships/table" Target="/xl/tables/table2.xml" Id="R916cf3d3b15440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0991cfd7ead4357" /><Relationship Type="http://schemas.openxmlformats.org/officeDocument/2006/relationships/table" Target="/xl/tables/table4.xml" Id="R399c07f1f6bb45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918e0a89db104992" /><Relationship Type="http://schemas.openxmlformats.org/officeDocument/2006/relationships/table" Target="/xl/tables/table6.xml" Id="Rc594d368dec240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ab7fd50e06a14ecb" /><Relationship Type="http://schemas.openxmlformats.org/officeDocument/2006/relationships/table" Target="/xl/tables/table8.xml" Id="R26fcbebeb8cc42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上海 → 昆明（KMG） 全集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全集 = 2026-10-01 至 10-09、停留4–7天的14个日期组合中，所有当前可见且含20kg估算后严格低于¥5,000的唯一方案。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COUNTA(A8:A140)</x:f>
        <x:v>133</x:v>
      </x:c>
      <x:c r="C3" s="68"/>
      <x:c r="D3" s="68" t="str">
        <x:v>覆盖日期组合</x:v>
      </x:c>
      <x:c r="E3" s="68" t="str">
        <x:v>14/14</x:v>
      </x:c>
      <x:c r="F3" s="68"/>
      <x:c r="G3" s="68" t="str">
        <x:v>最低含行李价</x:v>
      </x:c>
      <x:c r="H3" s="69" t="n">
        <x:f>MIN(O8:O140)</x:f>
        <x:v>1622</x:v>
      </x:c>
      <x:c r="I3" s="68"/>
      <x:c r="J3" s="68" t="str">
        <x:v>最高合格价</x:v>
      </x:c>
      <x:c r="K3" s="69" t="n">
        <x:f>MAX(O8:O140)</x:f>
        <x:v>4966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46299</x:v>
      </x:c>
      <x:c r="C8" s="78" t="n">
        <x:v>46304</x:v>
      </x:c>
      <x:c r="D8" s="79" t="n">
        <x:v>5</x:v>
      </x:c>
      <x:c r="E8" s="80" t="str">
        <x:v>昆航</x:v>
      </x:c>
      <x:c r="F8" s="80" t="str">
        <x:v>13:20</x:v>
      </x:c>
      <x:c r="G8" s="80" t="str">
        <x:v>16:40</x:v>
      </x:c>
      <x:c r="H8" s="80" t="str">
        <x:v>上海浦东国际机场</x:v>
      </x:c>
      <x:c r="I8" s="80" t="str">
        <x:v>昆明长水国际机场</x:v>
      </x:c>
      <x:c r="J8" s="80" t="n">
        <x:v>0</x:v>
      </x:c>
      <x:c r="K8" s="80" t="str">
        <x:v>—</x:v>
      </x:c>
      <x:c r="L8" s="80" t="str">
        <x:v>3 小时 20 分钟</x:v>
      </x:c>
      <x:c r="M8" s="81" t="n">
        <x:v>1622</x:v>
      </x:c>
      <x:c r="N8" s="81" t="n">
        <x:v>0</x:v>
      </x:c>
      <x:c r="O8" s="81" t="n">
        <x:f>M8+N8</x:f>
        <x:v>1622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46267.74517780093</x:v>
      </x:c>
      <x:c r="T8" s="84" t="str">
        <x:v>https://www.google.com/travel/flights?hl=zh-CN&amp;curr=CNY&amp;q=Flights%20from%20Shanghai%20to%20Kunming%20from%202026-10-04%20to%202026-10-09</x:v>
      </x:c>
      <x:c r="U8" s="133" t="n">
        <x:v>46304</x:v>
      </x:c>
      <x:c r="V8" s="82" t="str">
        <x:v>08:40</x:v>
      </x:c>
      <x:c r="W8" s="82" t="str">
        <x:v>昆明长水国际机场</x:v>
      </x:c>
      <x:c r="X8" s="134" t="n">
        <x:v>46304</x:v>
      </x:c>
      <x:c r="Y8" s="82" t="str">
        <x:v>12:00</x:v>
      </x:c>
      <x:c r="Z8" s="82" t="str">
        <x:v>上海浦东国际机场</x:v>
      </x:c>
      <x:c r="AA8" s="82" t="str">
        <x:v>昆航</x:v>
      </x:c>
      <x:c r="AB8" s="82" t="n">
        <x:v>0</x:v>
      </x:c>
      <x:c r="AC8" s="82" t="str">
        <x:v>3 小时 20 分钟</x:v>
      </x:c>
      <x:c r="AD8" s="135" t="n">
        <x:v>1640</x:v>
      </x:c>
      <x:c r="AE8" s="82" t="str">
        <x:v>当前价格已变化，采用当前最低价返程</x:v>
      </x:c>
      <x:c r="AF8" s="84" t="str">
        <x:v>https://www.google.com/travel/flights/search?tfs=CBwQAhpLEgoyMDI2LTEwLTA0IiAKA1BWRxIKMjAyNi0xMC0wNBoDS01HKgJLWTIEODIyMGoMCAISCC9tLzA2d2pmcg0IAhIJL20vMDFjMDZkGikSCjIwMjYtMTAtMDlqDQgCEgkvbS8wMWMwNmRyDAgCEggvbS8wNndqZkABSAFwAYIBCwj___________8BmAEB&amp;tfu=ClhDalJJTFdzelFXRXhNM05FT1ZGQlJWQk9WbWRDUnkwdExTMHRMUzB0TFMxelpXRmtOa0ZCUVVGQlIzRlpRM05OU1VwR1prMUJFZ1pMV1RneU1qQTRIQT09EgIIACIA&amp;hl=zh-CN&amp;curr=CNY</x:v>
      </x:c>
    </x:row>
    <x:row r="9" ht="42" customHeight="1">
      <x:c r="A9" s="85" t="n">
        <x:f>ROW()-7</x:f>
        <x:v>2</x:v>
      </x:c>
      <x:c r="B9" s="86" t="n">
        <x:v>46299</x:v>
      </x:c>
      <x:c r="C9" s="86" t="n">
        <x:v>46304</x:v>
      </x:c>
      <x:c r="D9" s="87" t="n">
        <x:v>5</x:v>
      </x:c>
      <x:c r="E9" s="88" t="str">
        <x:v>昆航</x:v>
      </x:c>
      <x:c r="F9" s="88" t="str">
        <x:v>17:35</x:v>
      </x:c>
      <x:c r="G9" s="88" t="str">
        <x:v>20:50</x:v>
      </x:c>
      <x:c r="H9" s="88" t="str">
        <x:v>上海浦东国际机场</x:v>
      </x:c>
      <x:c r="I9" s="88" t="str">
        <x:v>昆明长水国际机场</x:v>
      </x:c>
      <x:c r="J9" s="88" t="n">
        <x:v>0</x:v>
      </x:c>
      <x:c r="K9" s="88" t="str">
        <x:v>—</x:v>
      </x:c>
      <x:c r="L9" s="88" t="str">
        <x:v>3 小时 15 分钟</x:v>
      </x:c>
      <x:c r="M9" s="89" t="n">
        <x:v>1622</x:v>
      </x:c>
      <x:c r="N9" s="89" t="n">
        <x:v>0</x:v>
      </x:c>
      <x:c r="O9" s="89" t="n">
        <x:f>M9+N9</x:f>
        <x:v>1622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46267.74517780093</x:v>
      </x:c>
      <x:c r="T9" s="92" t="str">
        <x:v>https://www.google.com/travel/flights?hl=zh-CN&amp;curr=CNY&amp;q=Flights%20from%20Shanghai%20to%20Kunming%20from%202026-10-04%20to%202026-10-09</x:v>
      </x:c>
      <x:c r="U9" s="136" t="n">
        <x:v>46304</x:v>
      </x:c>
      <x:c r="V9" s="90" t="str">
        <x:v>08:40</x:v>
      </x:c>
      <x:c r="W9" s="90" t="str">
        <x:v>昆明长水国际机场</x:v>
      </x:c>
      <x:c r="X9" s="137" t="n">
        <x:v>46304</x:v>
      </x:c>
      <x:c r="Y9" s="90" t="str">
        <x:v>12:00</x:v>
      </x:c>
      <x:c r="Z9" s="90" t="str">
        <x:v>上海浦东国际机场</x:v>
      </x:c>
      <x:c r="AA9" s="90" t="str">
        <x:v>昆航</x:v>
      </x:c>
      <x:c r="AB9" s="90" t="n">
        <x:v>0</x:v>
      </x:c>
      <x:c r="AC9" s="90" t="str">
        <x:v>3 小时 20 分钟</x:v>
      </x:c>
      <x:c r="AD9" s="138" t="n">
        <x:v>1640</x:v>
      </x:c>
      <x:c r="AE9" s="90" t="str">
        <x:v>当前价格已变化，采用当前最低价返程</x:v>
      </x:c>
      <x:c r="AF9" s="92" t="str">
        <x:v>https://www.google.com/travel/flights/search?tfs=CBwQAhpLEgoyMDI2LTEwLTA0IiAKA1BWRxIKMjAyNi0xMC0wNBoDS01HKgJLWTIEODIxOGoMCAISCC9tLzA2d2pmcg0IAhIJL20vMDFjMDZkGikSCjIwMjYtMTAtMDlqDQgCEgkvbS8wMWMwNmRyDAgCEggvbS8wNndqZkABSAFwAYIBCwj___________8BmAEB&amp;tfu=CmxDalJJY2pKUlRVOUphVk5QUmxsQlJITlpSWGRDUnkwdExTMHRMUzB0TFMxemJXRXhNMEZCUVVGQlIzRlpRM05OVEZabWNFRkJFZ1pMV1RneU1UZ2FDZ2pvREJBQUdnTkRUbGs0SEhEU3ZnRT0SAggAIgA&amp;hl=zh-CN&amp;curr=CNY</x:v>
      </x:c>
    </x:row>
    <x:row r="10" ht="42" customHeight="1">
      <x:c r="A10" s="85" t="n">
        <x:f>ROW()-7</x:f>
        <x:v>3</x:v>
      </x:c>
      <x:c r="B10" s="86" t="n">
        <x:v>46299</x:v>
      </x:c>
      <x:c r="C10" s="86" t="n">
        <x:v>46304</x:v>
      </x:c>
      <x:c r="D10" s="87" t="n">
        <x:v>5</x:v>
      </x:c>
      <x:c r="E10" s="88" t="str">
        <x:v>昆航</x:v>
      </x:c>
      <x:c r="F10" s="88" t="str">
        <x:v>19:15</x:v>
      </x:c>
      <x:c r="G10" s="88" t="str">
        <x:v>22:50</x:v>
      </x:c>
      <x:c r="H10" s="88" t="str">
        <x:v>上海浦东国际机场</x:v>
      </x:c>
      <x:c r="I10" s="88" t="str">
        <x:v>昆明长水国际机场</x:v>
      </x:c>
      <x:c r="J10" s="88" t="n">
        <x:v>0</x:v>
      </x:c>
      <x:c r="K10" s="88" t="str">
        <x:v>—</x:v>
      </x:c>
      <x:c r="L10" s="88" t="str">
        <x:v>3 小时 35 分钟</x:v>
      </x:c>
      <x:c r="M10" s="89" t="n">
        <x:v>1622</x:v>
      </x:c>
      <x:c r="N10" s="89" t="n">
        <x:v>0</x:v>
      </x:c>
      <x:c r="O10" s="89" t="n">
        <x:f>M10+N10</x:f>
        <x:v>1622</x:v>
      </x:c>
      <x:c r="P10" s="88" t="str">
        <x:f>IF(O10&lt;5000,"是","否")</x:f>
        <x:v>是</x:v>
      </x:c>
      <x:c r="Q10" s="90" t="str">
        <x:v>国内经济舱通常含20kg；出票前须按实际票价等级复核</x:v>
      </x:c>
      <x:c r="R10" s="90" t="str">
        <x:v>该去程对应的最低可订返程组合；具体返程航班需打开来源链接确认</x:v>
      </x:c>
      <x:c r="S10" s="91" t="n">
        <x:v>46267.74517780093</x:v>
      </x:c>
      <x:c r="T10" s="92" t="str">
        <x:v>https://www.google.com/travel/flights?hl=zh-CN&amp;curr=CNY&amp;q=Flights%20from%20Shanghai%20to%20Kunming%20from%202026-10-04%20to%202026-10-09</x:v>
      </x:c>
      <x:c r="U10" s="136" t="n">
        <x:v>46304</x:v>
      </x:c>
      <x:c r="V10" s="90" t="str">
        <x:v>08:40</x:v>
      </x:c>
      <x:c r="W10" s="90" t="str">
        <x:v>昆明长水国际机场</x:v>
      </x:c>
      <x:c r="X10" s="137" t="n">
        <x:v>46304</x:v>
      </x:c>
      <x:c r="Y10" s="90" t="str">
        <x:v>12:00</x:v>
      </x:c>
      <x:c r="Z10" s="90" t="str">
        <x:v>上海浦东国际机场</x:v>
      </x:c>
      <x:c r="AA10" s="90" t="str">
        <x:v>昆航</x:v>
      </x:c>
      <x:c r="AB10" s="90" t="n">
        <x:v>0</x:v>
      </x:c>
      <x:c r="AC10" s="90" t="str">
        <x:v>3 小时 20 分钟</x:v>
      </x:c>
      <x:c r="AD10" s="138"/>
      <x:c r="AE10" s="90" t="str">
        <x:v>当前返程列表无价格，采用排序第一条</x:v>
      </x:c>
      <x:c r="AF10" s="92" t="str">
        <x:v>https://www.google.com/travel/flights/search?tfs=CBwQAhpLEgoyMDI2LTEwLTA0IiAKA1BWRxIKMjAyNi0xMC0wNBoDS01HKgJLWTIEODIyMmoMCAISCC9tLzA2d2pmcg0IAhIJL20vMDFjMDZkGikSCjIwMjYtMTAtMDlqDQgCEgkvbS8wMWMwNmRyDAgCEggvbS8wNndqZkABSAFwAYIBCwj___________8BmAEB&amp;tfu=ClhDalJJV0Raek9XaExUWEpYVGtsQlJXcDBibWRDUnkwdExTMHRMUzF6WlhSdE9DMXVNVUZCUVVGQlIzRlpRM05KVDJjNWNrdEJFZ1pMV1RneU1qSTRIQT09EgIIACIA&amp;hl=zh-CN&amp;curr=CNY</x:v>
      </x:c>
    </x:row>
    <x:row r="11" ht="42" customHeight="1">
      <x:c r="A11" s="85" t="n">
        <x:f>ROW()-7</x:f>
        <x:v>4</x:v>
      </x:c>
      <x:c r="B11" s="86" t="n">
        <x:v>46300</x:v>
      </x:c>
      <x:c r="C11" s="86" t="n">
        <x:v>46304</x:v>
      </x:c>
      <x:c r="D11" s="87" t="n">
        <x:v>4</x:v>
      </x:c>
      <x:c r="E11" s="88" t="str">
        <x:v>春航</x:v>
      </x:c>
      <x:c r="F11" s="88" t="str">
        <x:v>10:45</x:v>
      </x:c>
      <x:c r="G11" s="88" t="str">
        <x:v>16:00</x:v>
      </x:c>
      <x:c r="H11" s="88" t="str">
        <x:v>上海浦东国际机场</x:v>
      </x:c>
      <x:c r="I11" s="88" t="str">
        <x:v>昆明长水国际机场</x:v>
      </x:c>
      <x:c r="J11" s="88" t="n">
        <x:v>0</x:v>
      </x:c>
      <x:c r="K11" s="88" t="str">
        <x:v>—</x:v>
      </x:c>
      <x:c r="L11" s="88" t="str">
        <x:v>5 小时 15 分钟</x:v>
      </x:c>
      <x:c r="M11" s="89" t="n">
        <x:v>1460</x:v>
      </x:c>
      <x:c r="N11" s="89" t="n">
        <x:v>350</x:v>
      </x:c>
      <x:c r="O11" s="89" t="n">
        <x:f>M11+N11</x:f>
        <x:v>1810</x:v>
      </x:c>
      <x:c r="P11" s="88" t="str">
        <x:f>IF(O11&lt;5000,"是","否")</x:f>
        <x:v>是</x:v>
      </x:c>
      <x:c r="Q11" s="90" t="str">
        <x:v>春秋低价票可能不含托运；按国内往返20kg保守预留¥350</x:v>
      </x:c>
      <x:c r="R11" s="90" t="str">
        <x:v>该去程对应的最低可订返程组合；具体返程航班需打开来源链接确认</x:v>
      </x:c>
      <x:c r="S11" s="91" t="n">
        <x:v>46267.74517780093</x:v>
      </x:c>
      <x:c r="T11" s="92" t="str">
        <x:v>https://www.google.com/travel/flights?hl=zh-CN&amp;curr=CNY&amp;q=Flights%20from%20Shanghai%20to%20Kunming%20from%202026-10-05%20to%202026-10-09</x:v>
      </x:c>
      <x:c r="U11" s="136" t="n">
        <x:v>46304</x:v>
      </x:c>
      <x:c r="V11" s="90" t="str">
        <x:v>17:05</x:v>
      </x:c>
      <x:c r="W11" s="90" t="str">
        <x:v>昆明长水国际机场</x:v>
      </x:c>
      <x:c r="X11" s="137" t="n">
        <x:v>46304</x:v>
      </x:c>
      <x:c r="Y11" s="90" t="str">
        <x:v>21:45</x:v>
      </x:c>
      <x:c r="Z11" s="90" t="str">
        <x:v>上海浦东国际机场</x:v>
      </x:c>
      <x:c r="AA11" s="90" t="str">
        <x:v>春航</x:v>
      </x:c>
      <x:c r="AB11" s="90" t="n">
        <x:v>0</x:v>
      </x:c>
      <x:c r="AC11" s="90" t="str">
        <x:v>4 小时 40 分钟</x:v>
      </x:c>
      <x:c r="AD11" s="138" t="n">
        <x:v>1460</x:v>
      </x:c>
      <x:c r="AE11" s="90" t="str">
        <x:v>匹配原始往返起价</x:v>
      </x:c>
      <x:c r="AF11" s="92" t="str">
        <x:v>https://www.google.com/travel/flights/search?tfs=CBwQAhpLEgoyMDI2LTEwLTA1IiAKA1BWRxIKMjAyNi0xMC0wNRoDS01HKgI5QzIENjQ1NWoMCAISCC9tLzA2d2pmcg0IAhIJL20vMDFjMDZkGikSCjIwMjYtMTAtMDlqDQgCEgkvbS8wMWMwNmRyDAgCEggvbS8wNndqZkABSAFwAYIBCwj___________8BmAEB&amp;tfu=CmxDalJJYlhCeE56bGlkak5LY1dkQlJERm9URkZDUnkwdExTMHRMUzF6YlhWNE9DMXVNa0ZCUVVGQlIzRlpRM05KVGpGc1VIZEJFZ1k1UXpZME5UVWFDZ2kwQ3hBQUdnTkRUbGs0SEhEYnFRRT0SAggAIgA&amp;hl=zh-CN&amp;curr=CNY</x:v>
      </x:c>
    </x:row>
    <x:row r="12" ht="42" customHeight="1">
      <x:c r="A12" s="85" t="n">
        <x:f>ROW()-7</x:f>
        <x:v>5</x:v>
      </x:c>
      <x:c r="B12" s="86" t="n">
        <x:v>46299</x:v>
      </x:c>
      <x:c r="C12" s="86" t="n">
        <x:v>46304</x:v>
      </x:c>
      <x:c r="D12" s="87" t="n">
        <x:v>5</x:v>
      </x:c>
      <x:c r="E12" s="88" t="str">
        <x:v>春航</x:v>
      </x:c>
      <x:c r="F12" s="88" t="str">
        <x:v>13:25</x:v>
      </x:c>
      <x:c r="G12" s="88" t="str">
        <x:v>18:15</x:v>
      </x:c>
      <x:c r="H12" s="88" t="str">
        <x:v>上海虹桥国际机场</x:v>
      </x:c>
      <x:c r="I12" s="88" t="str">
        <x:v>昆明长水国际机场</x:v>
      </x:c>
      <x:c r="J12" s="88" t="n">
        <x:v>0</x:v>
      </x:c>
      <x:c r="K12" s="88" t="str">
        <x:v>—</x:v>
      </x:c>
      <x:c r="L12" s="88" t="str">
        <x:v>4 小时 50 分钟</x:v>
      </x:c>
      <x:c r="M12" s="89" t="n">
        <x:v>1550</x:v>
      </x:c>
      <x:c r="N12" s="89" t="n">
        <x:v>350</x:v>
      </x:c>
      <x:c r="O12" s="89" t="n">
        <x:f>M12+N12</x:f>
        <x:v>1900</x:v>
      </x:c>
      <x:c r="P12" s="88" t="str">
        <x:f>IF(O12&lt;5000,"是","否")</x:f>
        <x:v>是</x:v>
      </x:c>
      <x:c r="Q12" s="90" t="str">
        <x:v>春秋低价票可能不含托运；按国内往返20kg保守预留¥350</x:v>
      </x:c>
      <x:c r="R12" s="90" t="str">
        <x:v>该去程对应的最低可订返程组合；具体返程航班需打开来源链接确认</x:v>
      </x:c>
      <x:c r="S12" s="91" t="n">
        <x:v>46267.74517780093</x:v>
      </x:c>
      <x:c r="T12" s="92" t="str">
        <x:v>https://www.google.com/travel/flights?hl=zh-CN&amp;curr=CNY&amp;q=Flights%20from%20Shanghai%20to%20Kunming%20from%202026-10-04%20to%202026-10-09</x:v>
      </x:c>
      <x:c r="U12" s="136" t="n">
        <x:v>46304</x:v>
      </x:c>
      <x:c r="V12" s="90" t="str">
        <x:v>19:20</x:v>
      </x:c>
      <x:c r="W12" s="90" t="str">
        <x:v>昆明长水国际机场</x:v>
      </x:c>
      <x:c r="X12" s="137" t="n">
        <x:v>46304</x:v>
      </x:c>
      <x:c r="Y12" s="90" t="str">
        <x:v>23:55</x:v>
      </x:c>
      <x:c r="Z12" s="90" t="str">
        <x:v>上海虹桥国际机场</x:v>
      </x:c>
      <x:c r="AA12" s="90" t="str">
        <x:v>春航</x:v>
      </x:c>
      <x:c r="AB12" s="90" t="n">
        <x:v>0</x:v>
      </x:c>
      <x:c r="AC12" s="90" t="str">
        <x:v>4 小时 35 分钟</x:v>
      </x:c>
      <x:c r="AD12" s="138" t="n">
        <x:v>1550</x:v>
      </x:c>
      <x:c r="AE12" s="90" t="str">
        <x:v>匹配原始往返起价</x:v>
      </x:c>
      <x:c r="AF12" s="92" t="str">
        <x:v>https://www.google.com/travel/flights/search?tfs=CBwQAhpLEgoyMDI2LTEwLTA0IiAKA1NIQRIKMjAyNi0xMC0wNBoDS01HKgI5QzIEODgyOWoMCAISCC9tLzA2d2pmcg0IAhIJL20vMDFjMDZkGikSCjIwMjYtMTAtMDlqDQgCEgkvbS8wMWMwNmRyDAgCEggvbS8wNndqZkABSAFwAYIBCwj___________8BmAEB&amp;tfu=CmxDalJJUlROeFMwUnNXWFJRZEUxQlJWTjNiR2RDUnkwdExTMHRMWE50Y0hReE5DMXVNVUZCUVVGQlIzRlpRM056VDBOVGNWZEJFZ1k1UXpnNE1qa2FDZ2lPREJBQUdnTkRUbGs0SEhDWHRBRT0SAggAIgA&amp;hl=zh-CN&amp;curr=CNY</x:v>
      </x:c>
    </x:row>
    <x:row r="13" ht="42" customHeight="1">
      <x:c r="A13" s="85" t="n">
        <x:f>ROW()-7</x:f>
        <x:v>6</x:v>
      </x:c>
      <x:c r="B13" s="86" t="n">
        <x:v>46300</x:v>
      </x:c>
      <x:c r="C13" s="86" t="n">
        <x:v>46304</x:v>
      </x:c>
      <x:c r="D13" s="87" t="n">
        <x:v>4</x:v>
      </x:c>
      <x:c r="E13" s="88" t="str">
        <x:v>春航</x:v>
      </x:c>
      <x:c r="F13" s="88" t="str">
        <x:v>13:25</x:v>
      </x:c>
      <x:c r="G13" s="88" t="str">
        <x:v>18:15</x:v>
      </x:c>
      <x:c r="H13" s="88" t="str">
        <x:v>上海虹桥国际机场</x:v>
      </x:c>
      <x:c r="I13" s="88" t="str">
        <x:v>昆明长水国际机场</x:v>
      </x:c>
      <x:c r="J13" s="88" t="n">
        <x:v>0</x:v>
      </x:c>
      <x:c r="K13" s="88" t="str">
        <x:v>—</x:v>
      </x:c>
      <x:c r="L13" s="88" t="str">
        <x:v>4 小时 50 分钟</x:v>
      </x:c>
      <x:c r="M13" s="89" t="n">
        <x:v>1550</x:v>
      </x:c>
      <x:c r="N13" s="89" t="n">
        <x:v>350</x:v>
      </x:c>
      <x:c r="O13" s="89" t="n">
        <x:f>M13+N13</x:f>
        <x:v>1900</x:v>
      </x:c>
      <x:c r="P13" s="88" t="str">
        <x:f>IF(O13&lt;5000,"是","否")</x:f>
        <x:v>是</x:v>
      </x:c>
      <x:c r="Q13" s="90" t="str">
        <x:v>春秋低价票可能不含托运；按国内往返20kg保守预留¥350</x:v>
      </x:c>
      <x:c r="R13" s="90" t="str">
        <x:v>该去程对应的最低可订返程组合；具体返程航班需打开来源链接确认</x:v>
      </x:c>
      <x:c r="S13" s="91" t="n">
        <x:v>46267.74517780093</x:v>
      </x:c>
      <x:c r="T13" s="92" t="str">
        <x:v>https://www.google.com/travel/flights?hl=zh-CN&amp;curr=CNY&amp;q=Flights%20from%20Shanghai%20to%20Kunming%20from%202026-10-05%20to%202026-10-09</x:v>
      </x:c>
      <x:c r="U13" s="136" t="n">
        <x:v>46304</x:v>
      </x:c>
      <x:c r="V13" s="90" t="str">
        <x:v>19:20</x:v>
      </x:c>
      <x:c r="W13" s="90" t="str">
        <x:v>昆明长水国际机场</x:v>
      </x:c>
      <x:c r="X13" s="137" t="n">
        <x:v>46304</x:v>
      </x:c>
      <x:c r="Y13" s="90" t="str">
        <x:v>23:55</x:v>
      </x:c>
      <x:c r="Z13" s="90" t="str">
        <x:v>上海虹桥国际机场</x:v>
      </x:c>
      <x:c r="AA13" s="90" t="str">
        <x:v>春航</x:v>
      </x:c>
      <x:c r="AB13" s="90" t="n">
        <x:v>0</x:v>
      </x:c>
      <x:c r="AC13" s="90" t="str">
        <x:v>4 小时 35 分钟</x:v>
      </x:c>
      <x:c r="AD13" s="138" t="n">
        <x:v>1550</x:v>
      </x:c>
      <x:c r="AE13" s="90" t="str">
        <x:v>匹配原始往返起价</x:v>
      </x:c>
      <x:c r="AF13" s="92" t="str">
        <x:v>https://www.google.com/travel/flights/search?tfs=CBwQAhpLEgoyMDI2LTEwLTA1IiAKA1NIQRIKMjAyNi0xMC0wNRoDS01HKgI5QzIEODgyOWoMCAISCC9tLzA2d2pmcg0IAhIJL20vMDFjMDZkGikSCjIwMjYtMTAtMDlqDQgCEgkvbS8wMWMwNmRyDAgCEggvbS8wNndqZkABSAFwAYIBCwj___________8BmAEB&amp;tfu=CmxDalJJTFdzelFXRXhNM05FT1ZGQlJWQlJWR2RDUnkwdExTMHRMUzB0TFMxelpXRmtOa0ZCUVVGQlIzRlpRM04zUVZFMFVYVkJFZ1k1UXpnNE1qa2FDZ2lPREJBQUdnTkRUbGs0SEhDWHRBRT0SAggAIgA&amp;hl=zh-CN&amp;curr=CNY</x:v>
      </x:c>
    </x:row>
    <x:row r="14" ht="42" customHeight="1">
      <x:c r="A14" s="85" t="n">
        <x:f>ROW()-7</x:f>
        <x:v>7</x:v>
      </x:c>
      <x:c r="B14" s="86" t="n">
        <x:v>46300</x:v>
      </x:c>
      <x:c r="C14" s="86" t="n">
        <x:v>46304</x:v>
      </x:c>
      <x:c r="D14" s="87" t="n">
        <x:v>4</x:v>
      </x:c>
      <x:c r="E14" s="88" t="str">
        <x:v>春航</x:v>
      </x:c>
      <x:c r="F14" s="88" t="str">
        <x:v>07:45</x:v>
      </x:c>
      <x:c r="G14" s="88" t="str">
        <x:v>10:55</x:v>
      </x:c>
      <x:c r="H14" s="88" t="str">
        <x:v>上海虹桥国际机场</x:v>
      </x:c>
      <x:c r="I14" s="88" t="str">
        <x:v>昆明长水国际机场</x:v>
      </x:c>
      <x:c r="J14" s="88" t="n">
        <x:v>0</x:v>
      </x:c>
      <x:c r="K14" s="88" t="str">
        <x:v>—</x:v>
      </x:c>
      <x:c r="L14" s="88" t="str">
        <x:v>3 小时 10 分钟</x:v>
      </x:c>
      <x:c r="M14" s="89" t="n">
        <x:v>1560</x:v>
      </x:c>
      <x:c r="N14" s="89" t="n">
        <x:v>350</x:v>
      </x:c>
      <x:c r="O14" s="89" t="n">
        <x:f>M14+N14</x:f>
        <x:v>1910</x:v>
      </x:c>
      <x:c r="P14" s="88" t="str">
        <x:f>IF(O14&lt;5000,"是","否")</x:f>
        <x:v>是</x:v>
      </x:c>
      <x:c r="Q14" s="90" t="str">
        <x:v>春秋低价票可能不含托运；按国内往返20kg保守预留¥350</x:v>
      </x:c>
      <x:c r="R14" s="90" t="str">
        <x:v>该去程对应的最低可订返程组合；具体返程航班需打开来源链接确认</x:v>
      </x:c>
      <x:c r="S14" s="91" t="n">
        <x:v>46267.74517780093</x:v>
      </x:c>
      <x:c r="T14" s="92" t="str">
        <x:v>https://www.google.com/travel/flights?hl=zh-CN&amp;curr=CNY&amp;q=Flights%20from%20Shanghai%20to%20Kunming%20from%202026-10-05%20to%202026-10-09</x:v>
      </x:c>
      <x:c r="U14" s="136" t="n">
        <x:v>46304</x:v>
      </x:c>
      <x:c r="V14" s="90" t="str">
        <x:v>19:20</x:v>
      </x:c>
      <x:c r="W14" s="90" t="str">
        <x:v>昆明长水国际机场</x:v>
      </x:c>
      <x:c r="X14" s="137" t="n">
        <x:v>46304</x:v>
      </x:c>
      <x:c r="Y14" s="90" t="str">
        <x:v>23:55</x:v>
      </x:c>
      <x:c r="Z14" s="90" t="str">
        <x:v>上海虹桥国际机场</x:v>
      </x:c>
      <x:c r="AA14" s="90" t="str">
        <x:v>春航</x:v>
      </x:c>
      <x:c r="AB14" s="90" t="n">
        <x:v>0</x:v>
      </x:c>
      <x:c r="AC14" s="90" t="str">
        <x:v>4 小时 35 分钟</x:v>
      </x:c>
      <x:c r="AD14" s="138" t="n">
        <x:v>1560</x:v>
      </x:c>
      <x:c r="AE14" s="90" t="str">
        <x:v>匹配原始往返起价</x:v>
      </x:c>
      <x:c r="AF14" s="92" t="str">
        <x:v>https://www.google.com/travel/flights/search?tfs=CBwQAhpLEgoyMDI2LTEwLTA1IiAKA1NIQRIKMjAyNi0xMC0wNRoDS01HKgI5QzIEODk1M2oMCAISCC9tLzA2d2pmcg0IAhIJL20vMDFjMDZkGikSCjIwMjYtMTAtMDlqDQgCEgkvbS8wMWMwNmRyDAgCEggvbS8wNndqZkABSAFwAYIBCwj___________8BmAEB&amp;tfu=CmxDalJJY2pKUlRVOUphVk5QUmxsQlJITmhhRUZDUnkwdExTMHRMUzB0TFMxemJXRXhNMEZCUVVGQlIzRlpRM04zU0dacWNHOUJFZ1k1UXpnNU5UTWFDZ2lZREJBQUdnTkRUbGs0SEhDcnRRRT0SAggAIgMSATA&amp;hl=zh-CN&amp;curr=CNY</x:v>
      </x:c>
    </x:row>
    <x:row r="15" ht="42" customHeight="1">
      <x:c r="A15" s="85" t="n">
        <x:f>ROW()-7</x:f>
        <x:v>8</x:v>
      </x:c>
      <x:c r="B15" s="86" t="n">
        <x:v>46299</x:v>
      </x:c>
      <x:c r="C15" s="86" t="n">
        <x:v>46304</x:v>
      </x:c>
      <x:c r="D15" s="87" t="n">
        <x:v>5</x:v>
      </x:c>
      <x:c r="E15" s="88" t="str">
        <x:v>春航</x:v>
      </x:c>
      <x:c r="F15" s="88" t="str">
        <x:v>07:55</x:v>
      </x:c>
      <x:c r="G15" s="88" t="str">
        <x:v>11:20</x:v>
      </x:c>
      <x:c r="H15" s="88" t="str">
        <x:v>上海虹桥国际机场</x:v>
      </x:c>
      <x:c r="I15" s="88" t="str">
        <x:v>昆明长水国际机场</x:v>
      </x:c>
      <x:c r="J15" s="88" t="n">
        <x:v>0</x:v>
      </x:c>
      <x:c r="K15" s="88" t="str">
        <x:v>—</x:v>
      </x:c>
      <x:c r="L15" s="88" t="str">
        <x:v>3 小时 25 分钟</x:v>
      </x:c>
      <x:c r="M15" s="89" t="n">
        <x:v>1570</x:v>
      </x:c>
      <x:c r="N15" s="89" t="n">
        <x:v>350</x:v>
      </x:c>
      <x:c r="O15" s="89" t="n">
        <x:f>M15+N15</x:f>
        <x:v>1920</x:v>
      </x:c>
      <x:c r="P15" s="88" t="str">
        <x:f>IF(O15&lt;5000,"是","否")</x:f>
        <x:v>是</x:v>
      </x:c>
      <x:c r="Q15" s="90" t="str">
        <x:v>春秋低价票可能不含托运；按国内往返20kg保守预留¥350</x:v>
      </x:c>
      <x:c r="R15" s="90" t="str">
        <x:v>该去程对应的最低可订返程组合；具体返程航班需打开来源链接确认</x:v>
      </x:c>
      <x:c r="S15" s="91" t="n">
        <x:v>46267.74517780093</x:v>
      </x:c>
      <x:c r="T15" s="92" t="str">
        <x:v>https://www.google.com/travel/flights?hl=zh-CN&amp;curr=CNY&amp;q=Flights%20from%20Shanghai%20to%20Kunming%20from%202026-10-04%20to%202026-10-09</x:v>
      </x:c>
      <x:c r="U15" s="136" t="n">
        <x:v>46304</x:v>
      </x:c>
      <x:c r="V15" s="90" t="str">
        <x:v>19:20</x:v>
      </x:c>
      <x:c r="W15" s="90" t="str">
        <x:v>昆明长水国际机场</x:v>
      </x:c>
      <x:c r="X15" s="137" t="n">
        <x:v>46304</x:v>
      </x:c>
      <x:c r="Y15" s="90" t="str">
        <x:v>23:55</x:v>
      </x:c>
      <x:c r="Z15" s="90" t="str">
        <x:v>上海虹桥国际机场</x:v>
      </x:c>
      <x:c r="AA15" s="90" t="str">
        <x:v>春航</x:v>
      </x:c>
      <x:c r="AB15" s="90" t="n">
        <x:v>0</x:v>
      </x:c>
      <x:c r="AC15" s="90" t="str">
        <x:v>4 小时 35 分钟</x:v>
      </x:c>
      <x:c r="AD15" s="138" t="n">
        <x:v>1570</x:v>
      </x:c>
      <x:c r="AE15" s="90" t="str">
        <x:v>匹配原始往返起价</x:v>
      </x:c>
      <x:c r="AF15" s="92" t="str">
        <x:v>https://www.google.com/travel/flights/search?tfs=CBwQAhpLEgoyMDI2LTEwLTA0IiAKA1NIQRIKMjAyNi0xMC0wNBoDS01HKgI5QzIEODk1M2oMCAISCC9tLzA2d2pmcg0IAhIJL20vMDFjMDZkGikSCjIwMjYtMTAtMDlqDQgCEgkvbS8wMWMwNmRyDAgCEggvbS8wNndqZkABSAFwAYIBCwj___________8BmAEB&amp;tfu=CmxDalJJZEU5VWJEQndRbVpTWVhkQlIxbDZSbmRDUnkwdExTMHRMUzB0YzJWaVozSXpNMEZCUVVGQlIzRlpRM056VEdWRFFuZEJFZ1k1UXpnNU5UTWFDZ2lpREJBQUdnTkRUbGs0SEhEQXRnRT0SAggAIgMSATA&amp;hl=zh-CN&amp;curr=CNY</x:v>
      </x:c>
    </x:row>
    <x:row r="16" ht="42" customHeight="1">
      <x:c r="A16" s="85" t="n">
        <x:f>ROW()-7</x:f>
        <x:v>9</x:v>
      </x:c>
      <x:c r="B16" s="86" t="n">
        <x:v>46298</x:v>
      </x:c>
      <x:c r="C16" s="86" t="n">
        <x:v>46304</x:v>
      </x:c>
      <x:c r="D16" s="87" t="n">
        <x:v>6</x:v>
      </x:c>
      <x:c r="E16" s="88" t="str">
        <x:v>春航</x:v>
      </x:c>
      <x:c r="F16" s="88" t="str">
        <x:v>13:25</x:v>
      </x:c>
      <x:c r="G16" s="88" t="str">
        <x:v>18:15</x:v>
      </x:c>
      <x:c r="H16" s="88" t="str">
        <x:v>上海虹桥国际机场</x:v>
      </x:c>
      <x:c r="I16" s="88" t="str">
        <x:v>昆明长水国际机场</x:v>
      </x:c>
      <x:c r="J16" s="88" t="n">
        <x:v>0</x:v>
      </x:c>
      <x:c r="K16" s="88" t="str">
        <x:v>—</x:v>
      </x:c>
      <x:c r="L16" s="88" t="str">
        <x:v>4 小时 50 分钟</x:v>
      </x:c>
      <x:c r="M16" s="89" t="n">
        <x:v>1700</x:v>
      </x:c>
      <x:c r="N16" s="89" t="n">
        <x:v>350</x:v>
      </x:c>
      <x:c r="O16" s="89" t="n">
        <x:f>M16+N16</x:f>
        <x:v>2050</x:v>
      </x:c>
      <x:c r="P16" s="88" t="str">
        <x:f>IF(O16&lt;5000,"是","否")</x:f>
        <x:v>是</x:v>
      </x:c>
      <x:c r="Q16" s="90" t="str">
        <x:v>春秋低价票可能不含托运；按国内往返20kg保守预留¥350</x:v>
      </x:c>
      <x:c r="R16" s="90" t="str">
        <x:v>该去程对应的最低可订返程组合；具体返程航班需打开来源链接确认</x:v>
      </x:c>
      <x:c r="S16" s="91" t="n">
        <x:v>46267.74517780093</x:v>
      </x:c>
      <x:c r="T16" s="92" t="str">
        <x:v>https://www.google.com/travel/flights?hl=zh-CN&amp;curr=CNY&amp;q=Flights%20from%20Shanghai%20to%20Kunming%20from%202026-10-03%20to%202026-10-09</x:v>
      </x:c>
      <x:c r="U16" s="136" t="n">
        <x:v>46304</x:v>
      </x:c>
      <x:c r="V16" s="90" t="str">
        <x:v>19:20</x:v>
      </x:c>
      <x:c r="W16" s="90" t="str">
        <x:v>昆明长水国际机场</x:v>
      </x:c>
      <x:c r="X16" s="137" t="n">
        <x:v>46304</x:v>
      </x:c>
      <x:c r="Y16" s="90" t="str">
        <x:v>23:55</x:v>
      </x:c>
      <x:c r="Z16" s="90" t="str">
        <x:v>上海虹桥国际机场</x:v>
      </x:c>
      <x:c r="AA16" s="90" t="str">
        <x:v>春航</x:v>
      </x:c>
      <x:c r="AB16" s="90" t="n">
        <x:v>0</x:v>
      </x:c>
      <x:c r="AC16" s="90" t="str">
        <x:v>4 小时 35 分钟</x:v>
      </x:c>
      <x:c r="AD16" s="138" t="n">
        <x:v>1700</x:v>
      </x:c>
      <x:c r="AE16" s="90" t="str">
        <x:v>匹配原始往返起价</x:v>
      </x:c>
      <x:c r="AF16" s="92" t="str">
        <x:v>https://www.google.com/travel/flights/search?tfs=CBwQAhpLEgoyMDI2LTEwLTAzIiAKA1NIQRIKMjAyNi0xMC0wMxoDS01HKgI5QzIEODgyOWoMCAISCC9tLzA2d2pmcg0IAhIJL20vMDFjMDZkGikSCjIwMjYtMTAtMDlqDQgCEgkvbS8wMWMwNmRyDAgCEggvbS8wNndqZkABSAFwAYIBCwj___________8BmAEB&amp;tfu=CmxDalJJVEVvMGRVZFVjWE5mVEZsQlJXdEhWbEZDUnkwdExTMHRMUzB0YzJWaVpXRTBNVUZCUVVGQlIzRlpRM1JSUWxZd1JVMUJFZ1k1UXpnNE1qa2FDZ2lrRFJBQUdnTkRUbGs0SEhET3hRRT0SAggAIgA&amp;hl=zh-CN&amp;curr=CNY</x:v>
      </x:c>
    </x:row>
    <x:row r="17" ht="42" customHeight="1">
      <x:c r="A17" s="85" t="n">
        <x:f>ROW()-7</x:f>
        <x:v>10</x:v>
      </x:c>
      <x:c r="B17" s="86" t="n">
        <x:v>46300</x:v>
      </x:c>
      <x:c r="C17" s="86" t="n">
        <x:v>46304</x:v>
      </x:c>
      <x:c r="D17" s="87" t="n">
        <x:v>4</x:v>
      </x:c>
      <x:c r="E17" s="88" t="str">
        <x:v>国航</x:v>
      </x:c>
      <x:c r="F17" s="88" t="str">
        <x:v>14:55</x:v>
      </x:c>
      <x:c r="G17" s="88" t="str">
        <x:v>18:35</x:v>
      </x:c>
      <x:c r="H17" s="88" t="str">
        <x:v>上海浦东国际机场</x:v>
      </x:c>
      <x:c r="I17" s="88" t="str">
        <x:v>昆明长水国际机场</x:v>
      </x:c>
      <x:c r="J17" s="88" t="n">
        <x:v>0</x:v>
      </x:c>
      <x:c r="K17" s="88" t="str">
        <x:v>—</x:v>
      </x:c>
      <x:c r="L17" s="88" t="str">
        <x:v>3 小时 40 分钟</x:v>
      </x:c>
      <x:c r="M17" s="89" t="n">
        <x:v>2084</x:v>
      </x:c>
      <x:c r="N17" s="89" t="n">
        <x:v>0</x:v>
      </x:c>
      <x:c r="O17" s="89" t="n">
        <x:f>M17+N17</x:f>
        <x:v>2084</x:v>
      </x:c>
      <x:c r="P17" s="88" t="str">
        <x:f>IF(O17&lt;5000,"是","否")</x:f>
        <x:v>是</x:v>
      </x:c>
      <x:c r="Q17" s="90" t="str">
        <x:v>国内经济舱通常含20kg；出票前须按实际票价等级复核</x:v>
      </x:c>
      <x:c r="R17" s="90" t="str">
        <x:v>该去程对应的最低可订返程组合；具体返程航班需打开来源链接确认</x:v>
      </x:c>
      <x:c r="S17" s="91" t="n">
        <x:v>46267.74517780093</x:v>
      </x:c>
      <x:c r="T17" s="92" t="str">
        <x:v>https://www.google.com/travel/flights?hl=zh-CN&amp;curr=CNY&amp;q=Flights%20from%20Shanghai%20to%20Kunming%20from%202026-10-05%20to%202026-10-09</x:v>
      </x:c>
      <x:c r="U17" s="136" t="n">
        <x:v>46304</x:v>
      </x:c>
      <x:c r="V17" s="90" t="str">
        <x:v>08:40</x:v>
      </x:c>
      <x:c r="W17" s="90" t="str">
        <x:v>昆明长水国际机场</x:v>
      </x:c>
      <x:c r="X17" s="137" t="n">
        <x:v>46304</x:v>
      </x:c>
      <x:c r="Y17" s="90" t="str">
        <x:v>12:00</x:v>
      </x:c>
      <x:c r="Z17" s="90" t="str">
        <x:v>上海浦东国际机场</x:v>
      </x:c>
      <x:c r="AA17" s="90" t="str">
        <x:v>国航</x:v>
      </x:c>
      <x:c r="AB17" s="90" t="n">
        <x:v>0</x:v>
      </x:c>
      <x:c r="AC17" s="90" t="str">
        <x:v>3 小时 20 分钟</x:v>
      </x:c>
      <x:c r="AD17" s="138" t="n">
        <x:v>2084</x:v>
      </x:c>
      <x:c r="AE17" s="90" t="str">
        <x:v>匹配原始往返起价</x:v>
      </x:c>
      <x:c r="AF17" s="92" t="str">
        <x:v>https://www.google.com/travel/flights/search?tfs=CBwQAhpLEgoyMDI2LTEwLTA1IiAKA1BWRxIKMjAyNi0xMC0wNRoDS01HKgJDQTIEODUzN2oMCAISCC9tLzA2d2pmcg0IAhIJL20vMDFjMDZkGikSCjIwMjYtMTAtMDlqDQgCEgkvbS8wMWMwNmRyDAgCEggvbS8wNndqZkABSAFwAYIBCwj___________8BmAEB&amp;tfu=CmxDalJJTFdzelFXRXhNM05FT1ZGQlJWQlVhMUZDUnkwdExTMHRMUzB0TFMxelpXRmtOa0ZCUVVGQlIzRlpRM1JSUm1oTFYzbEJFZ1pEUVRnMU16Y2FDZ2lrRUJBQUdnTkRUbGs0SEhDZzhnRT0SAggAIgA&amp;hl=zh-CN&amp;curr=CNY</x:v>
      </x:c>
    </x:row>
    <x:row r="18" ht="42" customHeight="1">
      <x:c r="A18" s="85" t="n">
        <x:f>ROW()-7</x:f>
        <x:v>11</x:v>
      </x:c>
      <x:c r="B18" s="86" t="n">
        <x:v>46300</x:v>
      </x:c>
      <x:c r="C18" s="86" t="n">
        <x:v>46304</x:v>
      </x:c>
      <x:c r="D18" s="87" t="n">
        <x:v>4</x:v>
      </x:c>
      <x:c r="E18" s="88" t="str">
        <x:v>东航</x:v>
      </x:c>
      <x:c r="F18" s="88" t="str">
        <x:v>08:55</x:v>
      </x:c>
      <x:c r="G18" s="88" t="str">
        <x:v>14:50</x:v>
      </x:c>
      <x:c r="H18" s="88" t="str">
        <x:v>上海浦东国际机场</x:v>
      </x:c>
      <x:c r="I18" s="88" t="str">
        <x:v>昆明长水国际机场</x:v>
      </x:c>
      <x:c r="J18" s="88" t="n">
        <x:v>1</x:v>
      </x:c>
      <x:c r="K18" s="88" t="str">
        <x:v>福州市的福州长乐国际机场 / 1 小时 5 分钟</x:v>
      </x:c>
      <x:c r="L18" s="88" t="str">
        <x:v>5 小时 55 分钟</x:v>
      </x:c>
      <x:c r="M18" s="89" t="n">
        <x:v>2174</x:v>
      </x:c>
      <x:c r="N18" s="89" t="n">
        <x:v>0</x:v>
      </x:c>
      <x:c r="O18" s="89" t="n">
        <x:f>M18+N18</x:f>
        <x:v>2174</x:v>
      </x:c>
      <x:c r="P18" s="88" t="str">
        <x:f>IF(O18&lt;5000,"是","否")</x:f>
        <x:v>是</x:v>
      </x:c>
      <x:c r="Q18" s="90" t="str">
        <x:v>国内经济舱通常含20kg；出票前须按实际票价等级复核</x:v>
      </x:c>
      <x:c r="R18" s="90" t="str">
        <x:v>该去程对应的最低可订返程组合；具体返程航班需打开来源链接确认</x:v>
      </x:c>
      <x:c r="S18" s="91" t="n">
        <x:v>46267.74517780093</x:v>
      </x:c>
      <x:c r="T18" s="92" t="str">
        <x:v>https://www.google.com/travel/flights?hl=zh-CN&amp;curr=CNY&amp;q=Flights%20from%20Shanghai%20to%20Kunming%20from%202026-10-05%20to%202026-10-09</x:v>
      </x:c>
      <x:c r="U18" s="136"/>
      <x:c r="V18" s="90"/>
      <x:c r="W18" s="90"/>
      <x:c r="X18" s="137"/>
      <x:c r="Y18" s="90"/>
      <x:c r="Z18" s="90"/>
      <x:c r="AA18" s="90"/>
      <x:c r="AB18" s="90"/>
      <x:c r="AC18" s="90"/>
      <x:c r="AD18" s="138"/>
      <x:c r="AE18" s="90" t="str">
        <x:v>去程当前未找到，返程待核验</x:v>
      </x:c>
      <x:c r="AF18" s="92" t="str">
        <x:v>https://www.google.com/travel/flights?hl=zh-CN&amp;curr=CNY&amp;q=Flights%20from%20Shanghai%20to%20Kunming%20from%202026-10-05%20to%202026-10-09</x:v>
      </x:c>
    </x:row>
    <x:row r="19" ht="42" customHeight="1">
      <x:c r="A19" s="85" t="n">
        <x:f>ROW()-7</x:f>
        <x:v>12</x:v>
      </x:c>
      <x:c r="B19" s="86" t="n">
        <x:v>46299</x:v>
      </x:c>
      <x:c r="C19" s="86" t="n">
        <x:v>46304</x:v>
      </x:c>
      <x:c r="D19" s="87" t="n">
        <x:v>5</x:v>
      </x:c>
      <x:c r="E19" s="88" t="str">
        <x:v>吉祥航空</x:v>
      </x:c>
      <x:c r="F19" s="88" t="str">
        <x:v>09:05</x:v>
      </x:c>
      <x:c r="G19" s="88" t="str">
        <x:v>12:25</x:v>
      </x:c>
      <x:c r="H19" s="88" t="str">
        <x:v>上海浦东国际机场</x:v>
      </x:c>
      <x:c r="I19" s="88" t="str">
        <x:v>昆明长水国际机场</x:v>
      </x:c>
      <x:c r="J19" s="88" t="n">
        <x:v>0</x:v>
      </x:c>
      <x:c r="K19" s="88" t="str">
        <x:v>—</x:v>
      </x:c>
      <x:c r="L19" s="88" t="str">
        <x:v>3 小时 20 分钟</x:v>
      </x:c>
      <x:c r="M19" s="89" t="n">
        <x:v>2190</x:v>
      </x:c>
      <x:c r="N19" s="89" t="n">
        <x:v>0</x:v>
      </x:c>
      <x:c r="O19" s="89" t="n">
        <x:f>M19+N19</x:f>
        <x:v>2190</x:v>
      </x:c>
      <x:c r="P19" s="88" t="str">
        <x:f>IF(O19&lt;5000,"是","否")</x:f>
        <x:v>是</x:v>
      </x:c>
      <x:c r="Q19" s="90" t="str">
        <x:v>国内经济舱通常含20kg；出票前须按实际票价等级复核</x:v>
      </x:c>
      <x:c r="R19" s="90" t="str">
        <x:v>该去程对应的最低可订返程组合；具体返程航班需打开来源链接确认</x:v>
      </x:c>
      <x:c r="S19" s="91" t="n">
        <x:v>46267.74517780093</x:v>
      </x:c>
      <x:c r="T19" s="92" t="str">
        <x:v>https://www.google.com/travel/flights?hl=zh-CN&amp;curr=CNY&amp;q=Flights%20from%20Shanghai%20to%20Kunming%20from%202026-10-04%20to%202026-10-09</x:v>
      </x:c>
      <x:c r="U19" s="136" t="n">
        <x:v>46304</x:v>
      </x:c>
      <x:c r="V19" s="90" t="str">
        <x:v>07:10</x:v>
      </x:c>
      <x:c r="W19" s="90" t="str">
        <x:v>昆明长水国际机场</x:v>
      </x:c>
      <x:c r="X19" s="137" t="n">
        <x:v>46304</x:v>
      </x:c>
      <x:c r="Y19" s="90" t="str">
        <x:v>10:20</x:v>
      </x:c>
      <x:c r="Z19" s="90" t="str">
        <x:v>上海浦东国际机场</x:v>
      </x:c>
      <x:c r="AA19" s="90" t="str">
        <x:v>吉祥航空</x:v>
      </x:c>
      <x:c r="AB19" s="90" t="n">
        <x:v>0</x:v>
      </x:c>
      <x:c r="AC19" s="90" t="str">
        <x:v>3 小时 10 分钟</x:v>
      </x:c>
      <x:c r="AD19" s="138"/>
      <x:c r="AE19" s="90" t="str">
        <x:v>当前返程列表无价格，采用排序第一条</x:v>
      </x:c>
      <x:c r="AF19" s="92" t="str">
        <x:v>https://www.google.com/travel/flights/search?tfs=CBwQAhpLEgoyMDI2LTEwLTA0IiAKA1BWRxIKMjAyNi0xMC0wNBoDS01HKgJITzIEMTA5OWoMCAISCC9tLzA2d2pmcg0IAhIJL20vMDFjMDZkGikSCjIwMjYtMTAtMDlqDQgCEgkvbS8wMWMwNmRyDAgCEggvbS8wNndqZkABSAFwAYIBCwj___________8BmAEB&amp;tfu=CmxDalJJYnpSMU9IcEhkWFk1WVc5QlJuVllkM2RDUnkwdExTMHRMUzB0TFhObFlteG9OMEZCUVVGQlIzRlpRM1JOVDA1d05WVkJFZ1pJVHpFd09Ua2FDZ2k2RHhBQUdnTkRUbGs0SEhEMzVRRT0SAggAIgA&amp;hl=zh-CN&amp;curr=CNY</x:v>
      </x:c>
    </x:row>
    <x:row r="20" ht="42" customHeight="1">
      <x:c r="A20" s="85" t="n">
        <x:f>ROW()-7</x:f>
        <x:v>13</x:v>
      </x:c>
      <x:c r="B20" s="86" t="n">
        <x:v>46299</x:v>
      </x:c>
      <x:c r="C20" s="86" t="n">
        <x:v>46303</x:v>
      </x:c>
      <x:c r="D20" s="87" t="n">
        <x:v>4</x:v>
      </x:c>
      <x:c r="E20" s="88" t="str">
        <x:v>昆航</x:v>
      </x:c>
      <x:c r="F20" s="88" t="str">
        <x:v>13:20</x:v>
      </x:c>
      <x:c r="G20" s="88" t="str">
        <x:v>16:40</x:v>
      </x:c>
      <x:c r="H20" s="88" t="str">
        <x:v>上海浦东国际机场</x:v>
      </x:c>
      <x:c r="I20" s="88" t="str">
        <x:v>昆明长水国际机场</x:v>
      </x:c>
      <x:c r="J20" s="88" t="n">
        <x:v>0</x:v>
      </x:c>
      <x:c r="K20" s="88" t="str">
        <x:v>—</x:v>
      </x:c>
      <x:c r="L20" s="88" t="str">
        <x:v>3 小时 20 分钟</x:v>
      </x:c>
      <x:c r="M20" s="89" t="n">
        <x:v>2232</x:v>
      </x:c>
      <x:c r="N20" s="89" t="n">
        <x:v>0</x:v>
      </x:c>
      <x:c r="O20" s="89" t="n">
        <x:f>M20+N20</x:f>
        <x:v>2232</x:v>
      </x:c>
      <x:c r="P20" s="88" t="str">
        <x:f>IF(O20&lt;5000,"是","否")</x:f>
        <x:v>是</x:v>
      </x:c>
      <x:c r="Q20" s="90" t="str">
        <x:v>国内经济舱通常含20kg；出票前须按实际票价等级复核</x:v>
      </x:c>
      <x:c r="R20" s="90" t="str">
        <x:v>该去程对应的最低可订返程组合；具体返程航班需打开来源链接确认</x:v>
      </x:c>
      <x:c r="S20" s="91" t="n">
        <x:v>46267.74517780093</x:v>
      </x:c>
      <x:c r="T20" s="92" t="str">
        <x:v>https://www.google.com/travel/flights?hl=zh-CN&amp;curr=CNY&amp;q=Flights%20from%20Shanghai%20to%20Kunming%20from%202026-10-04%20to%202026-10-08</x:v>
      </x:c>
      <x:c r="U20" s="136" t="n">
        <x:v>46303</x:v>
      </x:c>
      <x:c r="V20" s="90" t="str">
        <x:v>08:40</x:v>
      </x:c>
      <x:c r="W20" s="90" t="str">
        <x:v>昆明长水国际机场</x:v>
      </x:c>
      <x:c r="X20" s="137" t="n">
        <x:v>46303</x:v>
      </x:c>
      <x:c r="Y20" s="90" t="str">
        <x:v>12:00</x:v>
      </x:c>
      <x:c r="Z20" s="90" t="str">
        <x:v>上海浦东国际机场</x:v>
      </x:c>
      <x:c r="AA20" s="90" t="str">
        <x:v>昆航</x:v>
      </x:c>
      <x:c r="AB20" s="90" t="n">
        <x:v>0</x:v>
      </x:c>
      <x:c r="AC20" s="90" t="str">
        <x:v>3 小时 20 分钟</x:v>
      </x:c>
      <x:c r="AD20" s="138"/>
      <x:c r="AE20" s="90" t="str">
        <x:v>当前返程列表无价格，采用排序第一条</x:v>
      </x:c>
      <x:c r="AF20" s="92" t="str">
        <x:v>https://www.google.com/travel/flights/search?tfs=CBwQAhpLEgoyMDI2LTEwLTA0IiAKA1BWRxIKMjAyNi0xMC0wNBoDS01HKgJLWTIEODIyMGoMCAISCC9tLzA2d2pmcg0IAhIJL20vMDFjMDZkGikSCjIwMjYtMTAtMDhqDQgCEgkvbS8wMWMwNmRyDAgCEggvbS8wNndqZkABSAFwAYIBCwj___________8BmAEB&amp;tfu=ClhDalJJV0Raek9XaExUWEpYVGtsQlJXb3lNRkZDUnkwdExTMHRMUzF6WlhSdE9DMXVNVUZCUVVGQlIzRlpRM1F3UWtRMmVsVkJFZ1pMV1RneU1qQTRIQT09EgIIACIA&amp;hl=zh-CN&amp;curr=CNY</x:v>
      </x:c>
    </x:row>
    <x:row r="21" ht="42" customHeight="1">
      <x:c r="A21" s="85" t="n">
        <x:f>ROW()-7</x:f>
        <x:v>14</x:v>
      </x:c>
      <x:c r="B21" s="86" t="n">
        <x:v>46299</x:v>
      </x:c>
      <x:c r="C21" s="86" t="n">
        <x:v>46303</x:v>
      </x:c>
      <x:c r="D21" s="87" t="n">
        <x:v>4</x:v>
      </x:c>
      <x:c r="E21" s="88" t="str">
        <x:v>昆航</x:v>
      </x:c>
      <x:c r="F21" s="88" t="str">
        <x:v>17:35</x:v>
      </x:c>
      <x:c r="G21" s="88" t="str">
        <x:v>20:50</x:v>
      </x:c>
      <x:c r="H21" s="88" t="str">
        <x:v>上海浦东国际机场</x:v>
      </x:c>
      <x:c r="I21" s="88" t="str">
        <x:v>昆明长水国际机场</x:v>
      </x:c>
      <x:c r="J21" s="88" t="n">
        <x:v>0</x:v>
      </x:c>
      <x:c r="K21" s="88" t="str">
        <x:v>—</x:v>
      </x:c>
      <x:c r="L21" s="88" t="str">
        <x:v>3 小时 15 分钟</x:v>
      </x:c>
      <x:c r="M21" s="89" t="n">
        <x:v>2232</x:v>
      </x:c>
      <x:c r="N21" s="89" t="n">
        <x:v>0</x:v>
      </x:c>
      <x:c r="O21" s="89" t="n">
        <x:f>M21+N21</x:f>
        <x:v>2232</x:v>
      </x:c>
      <x:c r="P21" s="88" t="str">
        <x:f>IF(O21&lt;5000,"是","否")</x:f>
        <x:v>是</x:v>
      </x:c>
      <x:c r="Q21" s="90" t="str">
        <x:v>国内经济舱通常含20kg；出票前须按实际票价等级复核</x:v>
      </x:c>
      <x:c r="R21" s="90" t="str">
        <x:v>该去程对应的最低可订返程组合；具体返程航班需打开来源链接确认</x:v>
      </x:c>
      <x:c r="S21" s="91" t="n">
        <x:v>46267.74517780093</x:v>
      </x:c>
      <x:c r="T21" s="92" t="str">
        <x:v>https://www.google.com/travel/flights?hl=zh-CN&amp;curr=CNY&amp;q=Flights%20from%20Shanghai%20to%20Kunming%20from%202026-10-04%20to%202026-10-08</x:v>
      </x:c>
      <x:c r="U21" s="136" t="n">
        <x:v>46303</x:v>
      </x:c>
      <x:c r="V21" s="90" t="str">
        <x:v>08:40</x:v>
      </x:c>
      <x:c r="W21" s="90" t="str">
        <x:v>昆明长水国际机场</x:v>
      </x:c>
      <x:c r="X21" s="137" t="n">
        <x:v>46303</x:v>
      </x:c>
      <x:c r="Y21" s="90" t="str">
        <x:v>12:00</x:v>
      </x:c>
      <x:c r="Z21" s="90" t="str">
        <x:v>上海浦东国际机场</x:v>
      </x:c>
      <x:c r="AA21" s="90" t="str">
        <x:v>昆航</x:v>
      </x:c>
      <x:c r="AB21" s="90" t="n">
        <x:v>0</x:v>
      </x:c>
      <x:c r="AC21" s="90" t="str">
        <x:v>3 小时 20 分钟</x:v>
      </x:c>
      <x:c r="AD21" s="138"/>
      <x:c r="AE21" s="90" t="str">
        <x:v>当前返程列表无价格，采用排序第一条</x:v>
      </x:c>
      <x:c r="AF21" s="92" t="str">
        <x:v>https://www.google.com/travel/flights/search?tfs=CBwQAhpLEgoyMDI2LTEwLTA0IiAKA1BWRxIKMjAyNi0xMC0wNBoDS01HKgJLWTIEODIxOGoMCAISCC9tLzA2d2pmcg0IAhIJL20vMDFjMDZkGikSCjIwMjYtMTAtMDhqDQgCEgkvbS8wMWMwNmRyDAgCEggvbS8wNndqZkABSAFwAYIBCwj___________8BmAEB&amp;tfu=ClhDalJJZEU5VWJEQndRbVpTWVhkQlIxazJNSGRDUnkwdExTMHRMUzB0YzJWaVozSXpNMEZCUVVGQlIzRlpRM1IzU2xSb2VGRkJFZ1pMV1RneU1UZzRIQT09EgIIACIA&amp;hl=zh-CN&amp;curr=CNY</x:v>
      </x:c>
    </x:row>
    <x:row r="22" ht="42" customHeight="1">
      <x:c r="A22" s="85" t="n">
        <x:f>ROW()-7</x:f>
        <x:v>15</x:v>
      </x:c>
      <x:c r="B22" s="86" t="n">
        <x:v>46299</x:v>
      </x:c>
      <x:c r="C22" s="86" t="n">
        <x:v>46303</x:v>
      </x:c>
      <x:c r="D22" s="87" t="n">
        <x:v>4</x:v>
      </x:c>
      <x:c r="E22" s="88" t="str">
        <x:v>昆航</x:v>
      </x:c>
      <x:c r="F22" s="88" t="str">
        <x:v>19:15</x:v>
      </x:c>
      <x:c r="G22" s="88" t="str">
        <x:v>22:50</x:v>
      </x:c>
      <x:c r="H22" s="88" t="str">
        <x:v>上海浦东国际机场</x:v>
      </x:c>
      <x:c r="I22" s="88" t="str">
        <x:v>昆明长水国际机场</x:v>
      </x:c>
      <x:c r="J22" s="88" t="n">
        <x:v>0</x:v>
      </x:c>
      <x:c r="K22" s="88" t="str">
        <x:v>—</x:v>
      </x:c>
      <x:c r="L22" s="88" t="str">
        <x:v>3 小时 35 分钟</x:v>
      </x:c>
      <x:c r="M22" s="89" t="n">
        <x:v>2232</x:v>
      </x:c>
      <x:c r="N22" s="89" t="n">
        <x:v>0</x:v>
      </x:c>
      <x:c r="O22" s="89" t="n">
        <x:f>M22+N22</x:f>
        <x:v>2232</x:v>
      </x:c>
      <x:c r="P22" s="88" t="str">
        <x:f>IF(O22&lt;5000,"是","否")</x:f>
        <x:v>是</x:v>
      </x:c>
      <x:c r="Q22" s="90" t="str">
        <x:v>国内经济舱通常含20kg；出票前须按实际票价等级复核</x:v>
      </x:c>
      <x:c r="R22" s="90" t="str">
        <x:v>该去程对应的最低可订返程组合；具体返程航班需打开来源链接确认</x:v>
      </x:c>
      <x:c r="S22" s="91" t="n">
        <x:v>46267.74517780093</x:v>
      </x:c>
      <x:c r="T22" s="92" t="str">
        <x:v>https://www.google.com/travel/flights?hl=zh-CN&amp;curr=CNY&amp;q=Flights%20from%20Shanghai%20to%20Kunming%20from%202026-10-04%20to%202026-10-08</x:v>
      </x:c>
      <x:c r="U22" s="136" t="n">
        <x:v>46303</x:v>
      </x:c>
      <x:c r="V22" s="90" t="str">
        <x:v>08:40</x:v>
      </x:c>
      <x:c r="W22" s="90" t="str">
        <x:v>昆明长水国际机场</x:v>
      </x:c>
      <x:c r="X22" s="137" t="n">
        <x:v>46303</x:v>
      </x:c>
      <x:c r="Y22" s="90" t="str">
        <x:v>12:00</x:v>
      </x:c>
      <x:c r="Z22" s="90" t="str">
        <x:v>上海浦东国际机场</x:v>
      </x:c>
      <x:c r="AA22" s="90" t="str">
        <x:v>昆航</x:v>
      </x:c>
      <x:c r="AB22" s="90" t="n">
        <x:v>0</x:v>
      </x:c>
      <x:c r="AC22" s="90" t="str">
        <x:v>3 小时 20 分钟</x:v>
      </x:c>
      <x:c r="AD22" s="138"/>
      <x:c r="AE22" s="90" t="str">
        <x:v>当前返程列表无价格，采用排序第一条</x:v>
      </x:c>
      <x:c r="AF22" s="92" t="str">
        <x:v>https://www.google.com/travel/flights/search?tfs=CBwQAhpLEgoyMDI2LTEwLTA0IiAKA1BWRxIKMjAyNi0xMC0wNBoDS01HKgJLWTIEODIyMmoMCAISCC9tLzA2d2pmcg0IAhIJL20vMDFjMDZkGikSCjIwMjYtMTAtMDhqDQgCEgkvbS8wMWMwNmRyDAgCEggvbS8wNndqZkABSAFwAYIBCwj___________8BmAEB&amp;tfu=ClhDalJJTlU4M1RFRndjM05IY25OQlJsVjBiMEZDUnkwdExTMHRMUzB0TFhOdFltUm5ORUZCUVVGQlIzRlpRM1IzUTNSWU1EQkJFZ1pMV1RneU1qSTRIQT09EgIIACIA&amp;hl=zh-CN&amp;curr=CNY</x:v>
      </x:c>
    </x:row>
    <x:row r="23" ht="42" customHeight="1">
      <x:c r="A23" s="85" t="n">
        <x:f>ROW()-7</x:f>
        <x:v>16</x:v>
      </x:c>
      <x:c r="B23" s="86" t="n">
        <x:v>46298</x:v>
      </x:c>
      <x:c r="C23" s="86" t="n">
        <x:v>46304</x:v>
      </x:c>
      <x:c r="D23" s="87" t="n">
        <x:v>6</x:v>
      </x:c>
      <x:c r="E23" s="88" t="str">
        <x:v>春航</x:v>
      </x:c>
      <x:c r="F23" s="88" t="str">
        <x:v>07:45</x:v>
      </x:c>
      <x:c r="G23" s="88" t="str">
        <x:v>10:55</x:v>
      </x:c>
      <x:c r="H23" s="88" t="str">
        <x:v>上海虹桥国际机场</x:v>
      </x:c>
      <x:c r="I23" s="88" t="str">
        <x:v>昆明长水国际机场</x:v>
      </x:c>
      <x:c r="J23" s="88" t="n">
        <x:v>0</x:v>
      </x:c>
      <x:c r="K23" s="88" t="str">
        <x:v>—</x:v>
      </x:c>
      <x:c r="L23" s="88" t="str">
        <x:v>3 小时 10 分钟</x:v>
      </x:c>
      <x:c r="M23" s="89" t="n">
        <x:v>1920</x:v>
      </x:c>
      <x:c r="N23" s="89" t="n">
        <x:v>350</x:v>
      </x:c>
      <x:c r="O23" s="89" t="n">
        <x:f>M23+N23</x:f>
        <x:v>2270</x:v>
      </x:c>
      <x:c r="P23" s="88" t="str">
        <x:f>IF(O23&lt;5000,"是","否")</x:f>
        <x:v>是</x:v>
      </x:c>
      <x:c r="Q23" s="90" t="str">
        <x:v>春秋低价票可能不含托运；按国内往返20kg保守预留¥350</x:v>
      </x:c>
      <x:c r="R23" s="90" t="str">
        <x:v>该去程对应的最低可订返程组合；具体返程航班需打开来源链接确认</x:v>
      </x:c>
      <x:c r="S23" s="91" t="n">
        <x:v>46267.74517780093</x:v>
      </x:c>
      <x:c r="T23" s="92" t="str">
        <x:v>https://www.google.com/travel/flights?hl=zh-CN&amp;curr=CNY&amp;q=Flights%20from%20Shanghai%20to%20Kunming%20from%202026-10-03%20to%202026-10-09</x:v>
      </x:c>
      <x:c r="U23" s="136" t="n">
        <x:v>46304</x:v>
      </x:c>
      <x:c r="V23" s="90" t="str">
        <x:v>19:20</x:v>
      </x:c>
      <x:c r="W23" s="90" t="str">
        <x:v>昆明长水国际机场</x:v>
      </x:c>
      <x:c r="X23" s="137" t="n">
        <x:v>46304</x:v>
      </x:c>
      <x:c r="Y23" s="90" t="str">
        <x:v>23:55</x:v>
      </x:c>
      <x:c r="Z23" s="90" t="str">
        <x:v>上海虹桥国际机场</x:v>
      </x:c>
      <x:c r="AA23" s="90" t="str">
        <x:v>春航</x:v>
      </x:c>
      <x:c r="AB23" s="90" t="n">
        <x:v>0</x:v>
      </x:c>
      <x:c r="AC23" s="90" t="str">
        <x:v>4 小时 35 分钟</x:v>
      </x:c>
      <x:c r="AD23" s="138" t="n">
        <x:v>1920</x:v>
      </x:c>
      <x:c r="AE23" s="90" t="str">
        <x:v>匹配原始往返起价</x:v>
      </x:c>
      <x:c r="AF23" s="92" t="str">
        <x:v>https://www.google.com/travel/flights/search?tfs=CBwQAhpLEgoyMDI2LTEwLTAzIiAKA1NIQRIKMjAyNi0xMC0wMxoDS01HKgI5QzIEODk1M2oMCAISCC9tLzA2d2pmcg0IAhIJL20vMDFjMDZkGikSCjIwMjYtMTAtMDlqDQgCEgkvbS8wMWMwNmRyDAgCEggvbS8wNndqZkABSAFwAYIBCwj___________8BmAEB&amp;tfu=CmxDalJJZEU5VWJEQndRbVpTWVhkQlIxazJaMmRDUnkwdExTMHRMUzB0YzJWaVozSXpNMEZCUVVGQlIzRlpRM1J6VHpReVZFMUJFZ1k1UXpnNU5UTWFDZ2lBRHhBQUdnTkRUbGs0SEhDWTN3RT0SAggAIgMKATA&amp;hl=zh-CN&amp;curr=CNY</x:v>
      </x:c>
    </x:row>
    <x:row r="24" ht="42" customHeight="1">
      <x:c r="A24" s="85" t="n">
        <x:f>ROW()-7</x:f>
        <x:v>17</x:v>
      </x:c>
      <x:c r="B24" s="86" t="n">
        <x:v>46298</x:v>
      </x:c>
      <x:c r="C24" s="86" t="n">
        <x:v>46304</x:v>
      </x:c>
      <x:c r="D24" s="87" t="n">
        <x:v>6</x:v>
      </x:c>
      <x:c r="E24" s="88" t="str">
        <x:v>吉祥航空</x:v>
      </x:c>
      <x:c r="F24" s="88" t="str">
        <x:v>10:00</x:v>
      </x:c>
      <x:c r="G24" s="88" t="str">
        <x:v>13:20</x:v>
      </x:c>
      <x:c r="H24" s="88" t="str">
        <x:v>上海浦东国际机场</x:v>
      </x:c>
      <x:c r="I24" s="88" t="str">
        <x:v>昆明长水国际机场</x:v>
      </x:c>
      <x:c r="J24" s="88" t="n">
        <x:v>0</x:v>
      </x:c>
      <x:c r="K24" s="88" t="str">
        <x:v>—</x:v>
      </x:c>
      <x:c r="L24" s="88" t="str">
        <x:v>3 小时 20 分钟</x:v>
      </x:c>
      <x:c r="M24" s="89" t="n">
        <x:v>2318</x:v>
      </x:c>
      <x:c r="N24" s="89" t="n">
        <x:v>0</x:v>
      </x:c>
      <x:c r="O24" s="89" t="n">
        <x:f>M24+N24</x:f>
        <x:v>2318</x:v>
      </x:c>
      <x:c r="P24" s="88" t="str">
        <x:f>IF(O24&lt;5000,"是","否")</x:f>
        <x:v>是</x:v>
      </x:c>
      <x:c r="Q24" s="90" t="str">
        <x:v>国内经济舱通常含20kg；出票前须按实际票价等级复核</x:v>
      </x:c>
      <x:c r="R24" s="90" t="str">
        <x:v>该去程对应的最低可订返程组合；具体返程航班需打开来源链接确认</x:v>
      </x:c>
      <x:c r="S24" s="91" t="n">
        <x:v>46267.74517780093</x:v>
      </x:c>
      <x:c r="T24" s="92" t="str">
        <x:v>https://www.google.com/travel/flights?hl=zh-CN&amp;curr=CNY&amp;q=Flights%20from%20Shanghai%20to%20Kunming%20from%202026-10-03%20to%202026-10-09</x:v>
      </x:c>
      <x:c r="U24" s="136" t="n">
        <x:v>46304</x:v>
      </x:c>
      <x:c r="V24" s="90" t="str">
        <x:v>07:10</x:v>
      </x:c>
      <x:c r="W24" s="90" t="str">
        <x:v>昆明长水国际机场</x:v>
      </x:c>
      <x:c r="X24" s="137" t="n">
        <x:v>46304</x:v>
      </x:c>
      <x:c r="Y24" s="90" t="str">
        <x:v>10:20</x:v>
      </x:c>
      <x:c r="Z24" s="90" t="str">
        <x:v>上海浦东国际机场</x:v>
      </x:c>
      <x:c r="AA24" s="90" t="str">
        <x:v>吉祥航空</x:v>
      </x:c>
      <x:c r="AB24" s="90" t="n">
        <x:v>0</x:v>
      </x:c>
      <x:c r="AC24" s="90" t="str">
        <x:v>3 小时 10 分钟</x:v>
      </x:c>
      <x:c r="AD24" s="138"/>
      <x:c r="AE24" s="90" t="str">
        <x:v>当前返程列表无价格，采用排序第一条</x:v>
      </x:c>
      <x:c r="AF24" s="92" t="str">
        <x:v>https://www.google.com/travel/flights/search?tfs=CBwQAhpLEgoyMDI2LTEwLTAzIiAKA1BWRxIKMjAyNi0xMC0wMxoDS01HKgJITzIEMTA5OWoMCAISCC9tLzA2d2pmcg0IAhIJL20vMDFjMDZkGikSCjIwMjYtMTAtMDlqDQgCEgkvbS8wMWMwNmRyDAgCEggvbS8wNndqZkABSAFwAYIBCwj___________8BmAEB&amp;tfu=CmxDalJJYTBKcFduQjNPRU4zUjFGQlJYRkNSRUZDUnkwdExTMHRMWE5sY0dReE1TMXVNVUZCUVVGQlIzRlpRM1ZSVGpGTWRUaEJFZ1pJVHpFd09Ua2FDZ2lPRWhBQUdnTkRUbGs0SEhDNmpRST0SAggAIgA&amp;hl=zh-CN&amp;curr=CNY</x:v>
      </x:c>
    </x:row>
    <x:row r="25" ht="42" customHeight="1">
      <x:c r="A25" s="85" t="n">
        <x:f>ROW()-7</x:f>
        <x:v>18</x:v>
      </x:c>
      <x:c r="B25" s="86" t="n">
        <x:v>46297</x:v>
      </x:c>
      <x:c r="C25" s="86" t="n">
        <x:v>46304</x:v>
      </x:c>
      <x:c r="D25" s="87" t="n">
        <x:v>7</x:v>
      </x:c>
      <x:c r="E25" s="88" t="str">
        <x:v>春航</x:v>
      </x:c>
      <x:c r="F25" s="88" t="str">
        <x:v>10:35</x:v>
      </x:c>
      <x:c r="G25" s="88" t="str">
        <x:v>16:00</x:v>
      </x:c>
      <x:c r="H25" s="88" t="str">
        <x:v>上海浦东国际机场</x:v>
      </x:c>
      <x:c r="I25" s="88" t="str">
        <x:v>昆明长水国际机场</x:v>
      </x:c>
      <x:c r="J25" s="88" t="n">
        <x:v>0</x:v>
      </x:c>
      <x:c r="K25" s="88" t="str">
        <x:v>—</x:v>
      </x:c>
      <x:c r="L25" s="88" t="str">
        <x:v>5 小时 25 分钟</x:v>
      </x:c>
      <x:c r="M25" s="89" t="n">
        <x:v>1980</x:v>
      </x:c>
      <x:c r="N25" s="89" t="n">
        <x:v>350</x:v>
      </x:c>
      <x:c r="O25" s="89" t="n">
        <x:f>M25+N25</x:f>
        <x:v>2330</x:v>
      </x:c>
      <x:c r="P25" s="88" t="str">
        <x:f>IF(O25&lt;5000,"是","否")</x:f>
        <x:v>是</x:v>
      </x:c>
      <x:c r="Q25" s="90" t="str">
        <x:v>春秋低价票可能不含托运；按国内往返20kg保守预留¥350</x:v>
      </x:c>
      <x:c r="R25" s="90" t="str">
        <x:v>该去程对应的最低可订返程组合；具体返程航班需打开来源链接确认</x:v>
      </x:c>
      <x:c r="S25" s="91" t="n">
        <x:v>46267.74517780093</x:v>
      </x:c>
      <x:c r="T25" s="92" t="str">
        <x:v>https://www.google.com/travel/flights?hl=zh-CN&amp;curr=CNY&amp;q=Flights%20from%20Shanghai%20to%20Kunming%20from%202026-10-02%20to%202026-10-09</x:v>
      </x:c>
      <x:c r="U25" s="136" t="n">
        <x:v>46304</x:v>
      </x:c>
      <x:c r="V25" s="90" t="str">
        <x:v>19:20</x:v>
      </x:c>
      <x:c r="W25" s="90" t="str">
        <x:v>昆明长水国际机场</x:v>
      </x:c>
      <x:c r="X25" s="137" t="n">
        <x:v>46304</x:v>
      </x:c>
      <x:c r="Y25" s="90" t="str">
        <x:v>23:55</x:v>
      </x:c>
      <x:c r="Z25" s="90" t="str">
        <x:v>上海虹桥国际机场</x:v>
      </x:c>
      <x:c r="AA25" s="90" t="str">
        <x:v>春航</x:v>
      </x:c>
      <x:c r="AB25" s="90" t="n">
        <x:v>0</x:v>
      </x:c>
      <x:c r="AC25" s="90" t="str">
        <x:v>4 小时 35 分钟</x:v>
      </x:c>
      <x:c r="AD25" s="138" t="n">
        <x:v>2260</x:v>
      </x:c>
      <x:c r="AE25" s="90" t="str">
        <x:v>当前价格已变化，采用当前最低价返程</x:v>
      </x:c>
      <x:c r="AF25" s="92" t="str">
        <x:v>https://www.google.com/travel/flights/search?tfs=CBwQAhpLEgoyMDI2LTEwLTAyIiAKA1NIQRIKMjAyNi0xMC0wMhoDS01HKgI5QzIEODk1M2oMCAISCC9tLzA2d2pmcg0IAhIJL20vMDFjMDZkGikSCjIwMjYtMTAtMDlqDQgCEgkvbS8wMWMwNmRyDAgCEggvbS8wNndqZkABSAFwAYIBCwj___________8BmAEB&amp;tfu=CmxDalJJTlU5V1JHUmlTbE5GWkVsQlExcEpjVUZDUnkwdExTMHRMUzB0YzJWaVluRXlOa0ZCUVVGQlIzRlpRM1ZWU1dOWmREUkJFZ1k1UXpnNU5UTWFDZ2pVRVJBQUdnTkRUbGs0SEhEYmhnST0SAggAIgMSATA&amp;hl=zh-CN&amp;curr=CNY</x:v>
      </x:c>
    </x:row>
    <x:row r="26" ht="42" customHeight="1">
      <x:c r="A26" s="85" t="n">
        <x:f>ROW()-7</x:f>
        <x:v>19</x:v>
      </x:c>
      <x:c r="B26" s="86" t="n">
        <x:v>46299</x:v>
      </x:c>
      <x:c r="C26" s="86" t="n">
        <x:v>46303</x:v>
      </x:c>
      <x:c r="D26" s="87" t="n">
        <x:v>4</x:v>
      </x:c>
      <x:c r="E26" s="88" t="str">
        <x:v>春航</x:v>
      </x:c>
      <x:c r="F26" s="88" t="str">
        <x:v>13:25</x:v>
      </x:c>
      <x:c r="G26" s="88" t="str">
        <x:v>18:15</x:v>
      </x:c>
      <x:c r="H26" s="88" t="str">
        <x:v>上海虹桥国际机场</x:v>
      </x:c>
      <x:c r="I26" s="88" t="str">
        <x:v>昆明长水国际机场</x:v>
      </x:c>
      <x:c r="J26" s="88" t="n">
        <x:v>0</x:v>
      </x:c>
      <x:c r="K26" s="88" t="str">
        <x:v>—</x:v>
      </x:c>
      <x:c r="L26" s="88" t="str">
        <x:v>4 小时 50 分钟</x:v>
      </x:c>
      <x:c r="M26" s="89" t="n">
        <x:v>2110</x:v>
      </x:c>
      <x:c r="N26" s="89" t="n">
        <x:v>350</x:v>
      </x:c>
      <x:c r="O26" s="89" t="n">
        <x:f>M26+N26</x:f>
        <x:v>2460</x:v>
      </x:c>
      <x:c r="P26" s="88" t="str">
        <x:f>IF(O26&lt;5000,"是","否")</x:f>
        <x:v>是</x:v>
      </x:c>
      <x:c r="Q26" s="90" t="str">
        <x:v>春秋低价票可能不含托运；按国内往返20kg保守预留¥350</x:v>
      </x:c>
      <x:c r="R26" s="90" t="str">
        <x:v>该去程对应的最低可订返程组合；具体返程航班需打开来源链接确认</x:v>
      </x:c>
      <x:c r="S26" s="91" t="n">
        <x:v>46267.74517780093</x:v>
      </x:c>
      <x:c r="T26" s="92" t="str">
        <x:v>https://www.google.com/travel/flights?hl=zh-CN&amp;curr=CNY&amp;q=Flights%20from%20Shanghai%20to%20Kunming%20from%202026-10-04%20to%202026-10-08</x:v>
      </x:c>
      <x:c r="U26" s="136" t="n">
        <x:v>46303</x:v>
      </x:c>
      <x:c r="V26" s="90" t="str">
        <x:v>19:20</x:v>
      </x:c>
      <x:c r="W26" s="90" t="str">
        <x:v>昆明长水国际机场</x:v>
      </x:c>
      <x:c r="X26" s="137" t="n">
        <x:v>46303</x:v>
      </x:c>
      <x:c r="Y26" s="90" t="str">
        <x:v>23:55</x:v>
      </x:c>
      <x:c r="Z26" s="90" t="str">
        <x:v>上海虹桥国际机场</x:v>
      </x:c>
      <x:c r="AA26" s="90" t="str">
        <x:v>春航</x:v>
      </x:c>
      <x:c r="AB26" s="90" t="n">
        <x:v>0</x:v>
      </x:c>
      <x:c r="AC26" s="90" t="str">
        <x:v>4 小时 35 分钟</x:v>
      </x:c>
      <x:c r="AD26" s="138" t="n">
        <x:v>2110</x:v>
      </x:c>
      <x:c r="AE26" s="90" t="str">
        <x:v>匹配原始往返起价</x:v>
      </x:c>
      <x:c r="AF26" s="92" t="str">
        <x:v>https://www.google.com/travel/flights/search?tfs=CBwQAhpLEgoyMDI2LTEwLTA0IiAKA1NIQRIKMjAyNi0xMC0wNBoDS01HKgI5QzIEODgyOWoMCAISCC9tLzA2d2pmcg0IAhIJL20vMDFjMDZkGikSCjIwMjYtMTAtMDhqDQgCEgkvbS8wMWMwNmRyDAgCEggvbS8wNndqZkABSAFwAYIBCwj___________8BmAEB&amp;tfu=CmxDalJJZEU5VWJEQndRbVpTWVhkQlIxbGZXVUZDUnkwdExTMHRMUzB0YzJWaVozSXpNMEZCUVVGQlIzRlpRM1ZWUTBabFVFbEJFZ1k1UXpnNE1qa2FDZ2krRUJBQUdnTkRUbGs0SEhDajlRRT0SAggAIgA&amp;hl=zh-CN&amp;curr=CNY</x:v>
      </x:c>
    </x:row>
    <x:row r="27" ht="42" customHeight="1">
      <x:c r="A27" s="85" t="n">
        <x:f>ROW()-7</x:f>
        <x:v>20</x:v>
      </x:c>
      <x:c r="B27" s="86" t="n">
        <x:v>46297</x:v>
      </x:c>
      <x:c r="C27" s="86" t="n">
        <x:v>46304</x:v>
      </x:c>
      <x:c r="D27" s="87" t="n">
        <x:v>7</x:v>
      </x:c>
      <x:c r="E27" s="88" t="str">
        <x:v>春航</x:v>
      </x:c>
      <x:c r="F27" s="88" t="str">
        <x:v>13:25</x:v>
      </x:c>
      <x:c r="G27" s="88" t="str">
        <x:v>18:15</x:v>
      </x:c>
      <x:c r="H27" s="88" t="str">
        <x:v>上海虹桥国际机场</x:v>
      </x:c>
      <x:c r="I27" s="88" t="str">
        <x:v>昆明长水国际机场</x:v>
      </x:c>
      <x:c r="J27" s="88" t="n">
        <x:v>0</x:v>
      </x:c>
      <x:c r="K27" s="88" t="str">
        <x:v>—</x:v>
      </x:c>
      <x:c r="L27" s="88" t="str">
        <x:v>4 小时 50 分钟</x:v>
      </x:c>
      <x:c r="M27" s="89" t="n">
        <x:v>2120</x:v>
      </x:c>
      <x:c r="N27" s="89" t="n">
        <x:v>350</x:v>
      </x:c>
      <x:c r="O27" s="89" t="n">
        <x:f>M27+N27</x:f>
        <x:v>2470</x:v>
      </x:c>
      <x:c r="P27" s="88" t="str">
        <x:f>IF(O27&lt;5000,"是","否")</x:f>
        <x:v>是</x:v>
      </x:c>
      <x:c r="Q27" s="90" t="str">
        <x:v>春秋低价票可能不含托运；按国内往返20kg保守预留¥350</x:v>
      </x:c>
      <x:c r="R27" s="90" t="str">
        <x:v>该去程对应的最低可订返程组合；具体返程航班需打开来源链接确认</x:v>
      </x:c>
      <x:c r="S27" s="91" t="n">
        <x:v>46267.74517780093</x:v>
      </x:c>
      <x:c r="T27" s="92" t="str">
        <x:v>https://www.google.com/travel/flights?hl=zh-CN&amp;curr=CNY&amp;q=Flights%20from%20Shanghai%20to%20Kunming%20from%202026-10-02%20to%202026-10-09</x:v>
      </x:c>
      <x:c r="U27" s="136" t="n">
        <x:v>46304</x:v>
      </x:c>
      <x:c r="V27" s="90" t="str">
        <x:v>19:20</x:v>
      </x:c>
      <x:c r="W27" s="90" t="str">
        <x:v>昆明长水国际机场</x:v>
      </x:c>
      <x:c r="X27" s="137" t="n">
        <x:v>46304</x:v>
      </x:c>
      <x:c r="Y27" s="90" t="str">
        <x:v>23:55</x:v>
      </x:c>
      <x:c r="Z27" s="90" t="str">
        <x:v>上海虹桥国际机场</x:v>
      </x:c>
      <x:c r="AA27" s="90" t="str">
        <x:v>春航</x:v>
      </x:c>
      <x:c r="AB27" s="90" t="n">
        <x:v>0</x:v>
      </x:c>
      <x:c r="AC27" s="90" t="str">
        <x:v>4 小时 35 分钟</x:v>
      </x:c>
      <x:c r="AD27" s="138" t="n">
        <x:v>2120</x:v>
      </x:c>
      <x:c r="AE27" s="90" t="str">
        <x:v>匹配原始往返起价</x:v>
      </x:c>
      <x:c r="AF27" s="92" t="str">
        <x:v>https://www.google.com/travel/flights/search?tfs=CBwQAhpLEgoyMDI2LTEwLTAyIiAKA1NIQRIKMjAyNi0xMC0wMhoDS01HKgI5QzIEODgyOWoMCAISCC9tLzA2d2pmcg0IAhIJL20vMDFjMDZkGikSCjIwMjYtMTAtMDlqDQgCEgkvbS8wMWMwNmRyDAgCEggvbS8wNndqZkABSAFwAYIBCwj___________8BmAEB&amp;tfu=CmxDalJJV0Raek9XaExUWEpYVGtsQlJXbzFlbEZDUnkwdExTMHRMUzF6WlhSdE9DMXVNVUZCUVVGQlIzRlpRM1ZSU1hsRVZVVkJFZ1k1UXpnNE1qa2FDZ2pJRUJBQUdnTkRUbGs0SEhDNDlnRT0SAggAIgA&amp;hl=zh-CN&amp;curr=CNY</x:v>
      </x:c>
    </x:row>
    <x:row r="28" ht="42" customHeight="1">
      <x:c r="A28" s="85" t="n">
        <x:f>ROW()-7</x:f>
        <x:v>21</x:v>
      </x:c>
      <x:c r="B28" s="86" t="n">
        <x:v>46299</x:v>
      </x:c>
      <x:c r="C28" s="86" t="n">
        <x:v>46303</x:v>
      </x:c>
      <x:c r="D28" s="87" t="n">
        <x:v>4</x:v>
      </x:c>
      <x:c r="E28" s="88" t="str">
        <x:v>春航</x:v>
      </x:c>
      <x:c r="F28" s="88" t="str">
        <x:v>07:55</x:v>
      </x:c>
      <x:c r="G28" s="88" t="str">
        <x:v>11:20</x:v>
      </x:c>
      <x:c r="H28" s="88" t="str">
        <x:v>上海虹桥国际机场</x:v>
      </x:c>
      <x:c r="I28" s="88" t="str">
        <x:v>昆明长水国际机场</x:v>
      </x:c>
      <x:c r="J28" s="88" t="n">
        <x:v>0</x:v>
      </x:c>
      <x:c r="K28" s="88" t="str">
        <x:v>—</x:v>
      </x:c>
      <x:c r="L28" s="88" t="str">
        <x:v>3 小时 25 分钟</x:v>
      </x:c>
      <x:c r="M28" s="89" t="n">
        <x:v>2130</x:v>
      </x:c>
      <x:c r="N28" s="89" t="n">
        <x:v>350</x:v>
      </x:c>
      <x:c r="O28" s="89" t="n">
        <x:f>M28+N28</x:f>
        <x:v>2480</x:v>
      </x:c>
      <x:c r="P28" s="88" t="str">
        <x:f>IF(O28&lt;5000,"是","否")</x:f>
        <x:v>是</x:v>
      </x:c>
      <x:c r="Q28" s="90" t="str">
        <x:v>春秋低价票可能不含托运；按国内往返20kg保守预留¥350</x:v>
      </x:c>
      <x:c r="R28" s="90" t="str">
        <x:v>该去程对应的最低可订返程组合；具体返程航班需打开来源链接确认</x:v>
      </x:c>
      <x:c r="S28" s="91" t="n">
        <x:v>46267.74517780093</x:v>
      </x:c>
      <x:c r="T28" s="92" t="str">
        <x:v>https://www.google.com/travel/flights?hl=zh-CN&amp;curr=CNY&amp;q=Flights%20from%20Shanghai%20to%20Kunming%20from%202026-10-04%20to%202026-10-08</x:v>
      </x:c>
      <x:c r="U28" s="136" t="n">
        <x:v>46303</x:v>
      </x:c>
      <x:c r="V28" s="90" t="str">
        <x:v>19:20</x:v>
      </x:c>
      <x:c r="W28" s="90" t="str">
        <x:v>昆明长水国际机场</x:v>
      </x:c>
      <x:c r="X28" s="137" t="n">
        <x:v>46303</x:v>
      </x:c>
      <x:c r="Y28" s="90" t="str">
        <x:v>23:55</x:v>
      </x:c>
      <x:c r="Z28" s="90" t="str">
        <x:v>上海虹桥国际机场</x:v>
      </x:c>
      <x:c r="AA28" s="90" t="str">
        <x:v>春航</x:v>
      </x:c>
      <x:c r="AB28" s="90" t="n">
        <x:v>0</x:v>
      </x:c>
      <x:c r="AC28" s="90" t="str">
        <x:v>4 小时 35 分钟</x:v>
      </x:c>
      <x:c r="AD28" s="138" t="n">
        <x:v>2130</x:v>
      </x:c>
      <x:c r="AE28" s="90" t="str">
        <x:v>匹配原始往返起价</x:v>
      </x:c>
      <x:c r="AF28" s="92" t="str">
        <x:v>https://www.google.com/travel/flights/search?tfs=CBwQAhpLEgoyMDI2LTEwLTA0IiAKA1NIQRIKMjAyNi0xMC0wNBoDS01HKgI5QzIEODk1M2oMCAISCC9tLzA2d2pmcg0IAhIJL20vMDFjMDZkGikSCjIwMjYtMTAtMDhqDQgCEgkvbS8wMWMwNmRyDAgCEggvbS8wNndqZkABSAFwAYIBCwj___________8BmAEB&amp;tfu=CmxDalJJZEU5VWJEQndRbVpTWVhkQlIxcEVjRkZDUnkwdExTMHRMUzB0YzJWaVozSXpNMEZCUVVGQlIzRlpRM1V3U1RkcFZIVkJFZ1k1UXpnNU5UTWFDZ2pTRUJBQUdnTkRUbGs0SEhETTl3RT0SAggAIgMSATA&amp;hl=zh-CN&amp;curr=CNY</x:v>
      </x:c>
    </x:row>
    <x:row r="29" ht="42" customHeight="1">
      <x:c r="A29" s="85" t="n">
        <x:f>ROW()-7</x:f>
        <x:v>22</x:v>
      </x:c>
      <x:c r="B29" s="86" t="n">
        <x:v>46297</x:v>
      </x:c>
      <x:c r="C29" s="86" t="n">
        <x:v>46304</x:v>
      </x:c>
      <x:c r="D29" s="87" t="n">
        <x:v>7</x:v>
      </x:c>
      <x:c r="E29" s="88" t="str">
        <x:v>春航</x:v>
      </x:c>
      <x:c r="F29" s="88" t="str">
        <x:v>07:45</x:v>
      </x:c>
      <x:c r="G29" s="88" t="str">
        <x:v>10:55</x:v>
      </x:c>
      <x:c r="H29" s="88" t="str">
        <x:v>上海虹桥国际机场</x:v>
      </x:c>
      <x:c r="I29" s="88" t="str">
        <x:v>昆明长水国际机场</x:v>
      </x:c>
      <x:c r="J29" s="88" t="n">
        <x:v>0</x:v>
      </x:c>
      <x:c r="K29" s="88" t="str">
        <x:v>—</x:v>
      </x:c>
      <x:c r="L29" s="88" t="str">
        <x:v>3 小时 10 分钟</x:v>
      </x:c>
      <x:c r="M29" s="89" t="n">
        <x:v>2260</x:v>
      </x:c>
      <x:c r="N29" s="89" t="n">
        <x:v>350</x:v>
      </x:c>
      <x:c r="O29" s="89" t="n">
        <x:f>M29+N29</x:f>
        <x:v>2610</x:v>
      </x:c>
      <x:c r="P29" s="88" t="str">
        <x:f>IF(O29&lt;5000,"是","否")</x:f>
        <x:v>是</x:v>
      </x:c>
      <x:c r="Q29" s="90" t="str">
        <x:v>春秋低价票可能不含托运；按国内往返20kg保守预留¥350</x:v>
      </x:c>
      <x:c r="R29" s="90" t="str">
        <x:v>该去程对应的最低可订返程组合；具体返程航班需打开来源链接确认</x:v>
      </x:c>
      <x:c r="S29" s="91" t="n">
        <x:v>46267.74517780093</x:v>
      </x:c>
      <x:c r="T29" s="92" t="str">
        <x:v>https://www.google.com/travel/flights?hl=zh-CN&amp;curr=CNY&amp;q=Flights%20from%20Shanghai%20to%20Kunming%20from%202026-10-02%20to%202026-10-09</x:v>
      </x:c>
      <x:c r="U29" s="136" t="n">
        <x:v>46304</x:v>
      </x:c>
      <x:c r="V29" s="90" t="str">
        <x:v>19:20</x:v>
      </x:c>
      <x:c r="W29" s="90" t="str">
        <x:v>昆明长水国际机场</x:v>
      </x:c>
      <x:c r="X29" s="137" t="n">
        <x:v>46304</x:v>
      </x:c>
      <x:c r="Y29" s="90" t="str">
        <x:v>23:55</x:v>
      </x:c>
      <x:c r="Z29" s="90" t="str">
        <x:v>上海虹桥国际机场</x:v>
      </x:c>
      <x:c r="AA29" s="90" t="str">
        <x:v>春航</x:v>
      </x:c>
      <x:c r="AB29" s="90" t="n">
        <x:v>0</x:v>
      </x:c>
      <x:c r="AC29" s="90" t="str">
        <x:v>4 小时 35 分钟</x:v>
      </x:c>
      <x:c r="AD29" s="138" t="n">
        <x:v>2260</x:v>
      </x:c>
      <x:c r="AE29" s="90" t="str">
        <x:v>匹配原始往返起价</x:v>
      </x:c>
      <x:c r="AF29" s="92" t="str">
        <x:v>https://www.google.com/travel/flights/search?tfs=CBwQAhpLEgoyMDI2LTEwLTAyIiAKA1NIQRIKMjAyNi0xMC0wMhoDS01HKgI5QzIEODk1M2oMCAISCC9tLzA2d2pmcg0IAhIJL20vMDFjMDZkGikSCjIwMjYtMTAtMDlqDQgCEgkvbS8wMWMwNmRyDAgCEggvbS8wNndqZkABSAFwAYIBCwj___________8BmAEB&amp;tfu=CmxDalJJWkZWWlJYTm9WSE5zUkc5QlJVUlBTMmRDUnkwdExTMHRMWE50WW1aM09TMXVNVUZCUVVGQlIzRlpRM1V3U1RFeVR6aEJFZ1k1UXpnNU5UTWFDZ2pVRVJBQUdnTkRUbGs0SEhEYmhnST0SAggAIgMSATA&amp;hl=zh-CN&amp;curr=CNY</x:v>
      </x:c>
    </x:row>
    <x:row r="30" ht="42" customHeight="1">
      <x:c r="A30" s="85" t="n">
        <x:f>ROW()-7</x:f>
        <x:v>23</x:v>
      </x:c>
      <x:c r="B30" s="86" t="n">
        <x:v>46298</x:v>
      </x:c>
      <x:c r="C30" s="86" t="n">
        <x:v>46303</x:v>
      </x:c>
      <x:c r="D30" s="87" t="n">
        <x:v>5</x:v>
      </x:c>
      <x:c r="E30" s="88" t="str">
        <x:v>春航</x:v>
      </x:c>
      <x:c r="F30" s="88" t="str">
        <x:v>13:25</x:v>
      </x:c>
      <x:c r="G30" s="88" t="str">
        <x:v>18:15</x:v>
      </x:c>
      <x:c r="H30" s="88" t="str">
        <x:v>上海虹桥国际机场</x:v>
      </x:c>
      <x:c r="I30" s="88" t="str">
        <x:v>昆明长水国际机场</x:v>
      </x:c>
      <x:c r="J30" s="88" t="n">
        <x:v>0</x:v>
      </x:c>
      <x:c r="K30" s="88" t="str">
        <x:v>—</x:v>
      </x:c>
      <x:c r="L30" s="88" t="str">
        <x:v>4 小时 50 分钟</x:v>
      </x:c>
      <x:c r="M30" s="89" t="n">
        <x:v>2260</x:v>
      </x:c>
      <x:c r="N30" s="89" t="n">
        <x:v>350</x:v>
      </x:c>
      <x:c r="O30" s="89" t="n">
        <x:f>M30+N30</x:f>
        <x:v>2610</x:v>
      </x:c>
      <x:c r="P30" s="88" t="str">
        <x:f>IF(O30&lt;5000,"是","否")</x:f>
        <x:v>是</x:v>
      </x:c>
      <x:c r="Q30" s="90" t="str">
        <x:v>春秋低价票可能不含托运；按国内往返20kg保守预留¥350</x:v>
      </x:c>
      <x:c r="R30" s="90" t="str">
        <x:v>该去程对应的最低可订返程组合；具体返程航班需打开来源链接确认</x:v>
      </x:c>
      <x:c r="S30" s="91" t="n">
        <x:v>46267.74517780093</x:v>
      </x:c>
      <x:c r="T30" s="92" t="str">
        <x:v>https://www.google.com/travel/flights?hl=zh-CN&amp;curr=CNY&amp;q=Flights%20from%20Shanghai%20to%20Kunming%20from%202026-10-03%20to%202026-10-08</x:v>
      </x:c>
      <x:c r="U30" s="136" t="n">
        <x:v>46303</x:v>
      </x:c>
      <x:c r="V30" s="90" t="str">
        <x:v>19:20</x:v>
      </x:c>
      <x:c r="W30" s="90" t="str">
        <x:v>昆明长水国际机场</x:v>
      </x:c>
      <x:c r="X30" s="137" t="n">
        <x:v>46303</x:v>
      </x:c>
      <x:c r="Y30" s="90" t="str">
        <x:v>23:55</x:v>
      </x:c>
      <x:c r="Z30" s="90" t="str">
        <x:v>上海虹桥国际机场</x:v>
      </x:c>
      <x:c r="AA30" s="90" t="str">
        <x:v>春航</x:v>
      </x:c>
      <x:c r="AB30" s="90" t="n">
        <x:v>0</x:v>
      </x:c>
      <x:c r="AC30" s="90" t="str">
        <x:v>4 小时 35 分钟</x:v>
      </x:c>
      <x:c r="AD30" s="138" t="n">
        <x:v>2260</x:v>
      </x:c>
      <x:c r="AE30" s="90" t="str">
        <x:v>匹配原始往返起价</x:v>
      </x:c>
      <x:c r="AF30" s="92" t="str">
        <x:v>https://www.google.com/travel/flights/search?tfs=CBwQAhpLEgoyMDI2LTEwLTAzIiAKA1NIQRIKMjAyNi0xMC0wMxoDS01HKgI5QzIEODgyOWoMCAISCC9tLzA2d2pmcg0IAhIJL20vMDFjMDZkGikSCjIwMjYtMTAtMDhqDQgCEgkvbS8wMWMwNmRyDAgCEggvbS8wNndqZkABSAFwAYIBCwj___________8BmAEB&amp;tfu=CmxDalJJYjBKcmNXbDVMVVZwVWtGQlJITTVhM2RDUnkwdExTMHRMUzB0TFhOdGNHUXlNVUZCUVVGQlIzRlpRM1V3UjIxcmNsbEJFZ1k1UXpnNE1qa2FDZ2pVRVJBQUdnTkRUbGs0SEhEYmhnST0SAggAIgA&amp;hl=zh-CN&amp;curr=CNY</x:v>
      </x:c>
    </x:row>
    <x:row r="31" ht="42" customHeight="1">
      <x:c r="A31" s="85" t="n">
        <x:f>ROW()-7</x:f>
        <x:v>24</x:v>
      </x:c>
      <x:c r="B31" s="86" t="n">
        <x:v>46300</x:v>
      </x:c>
      <x:c r="C31" s="86" t="n">
        <x:v>46304</x:v>
      </x:c>
      <x:c r="D31" s="87" t="n">
        <x:v>4</x:v>
      </x:c>
      <x:c r="E31" s="88" t="str">
        <x:v>国航</x:v>
      </x:c>
      <x:c r="F31" s="88" t="str">
        <x:v>19:15</x:v>
      </x:c>
      <x:c r="G31" s="88" t="str">
        <x:v>22:50</x:v>
      </x:c>
      <x:c r="H31" s="88" t="str">
        <x:v>上海浦东国际机场</x:v>
      </x:c>
      <x:c r="I31" s="88" t="str">
        <x:v>昆明长水国际机场</x:v>
      </x:c>
      <x:c r="J31" s="88" t="n">
        <x:v>0</x:v>
      </x:c>
      <x:c r="K31" s="88" t="str">
        <x:v>—</x:v>
      </x:c>
      <x:c r="L31" s="88" t="str">
        <x:v>3 小时 35 分钟</x:v>
      </x:c>
      <x:c r="M31" s="89" t="n">
        <x:v>2744</x:v>
      </x:c>
      <x:c r="N31" s="89" t="n">
        <x:v>0</x:v>
      </x:c>
      <x:c r="O31" s="89" t="n">
        <x:f>M31+N31</x:f>
        <x:v>2744</x:v>
      </x:c>
      <x:c r="P31" s="88" t="str">
        <x:f>IF(O31&lt;5000,"是","否")</x:f>
        <x:v>是</x:v>
      </x:c>
      <x:c r="Q31" s="90" t="str">
        <x:v>国内经济舱通常含20kg；出票前须按实际票价等级复核</x:v>
      </x:c>
      <x:c r="R31" s="90" t="str">
        <x:v>该去程对应的最低可订返程组合；具体返程航班需打开来源链接确认</x:v>
      </x:c>
      <x:c r="S31" s="91" t="n">
        <x:v>46267.74517780093</x:v>
      </x:c>
      <x:c r="T31" s="92" t="str">
        <x:v>https://www.google.com/travel/flights?hl=zh-CN&amp;curr=CNY&amp;q=Flights%20from%20Shanghai%20to%20Kunming%20from%202026-10-05%20to%202026-10-09</x:v>
      </x:c>
      <x:c r="U31" s="136" t="n">
        <x:v>46304</x:v>
      </x:c>
      <x:c r="V31" s="90" t="str">
        <x:v>15:00</x:v>
      </x:c>
      <x:c r="W31" s="90" t="str">
        <x:v>昆明长水国际机场</x:v>
      </x:c>
      <x:c r="X31" s="137" t="n">
        <x:v>46304</x:v>
      </x:c>
      <x:c r="Y31" s="90" t="str">
        <x:v>18:10</x:v>
      </x:c>
      <x:c r="Z31" s="90" t="str">
        <x:v>上海浦东国际机场</x:v>
      </x:c>
      <x:c r="AA31" s="90" t="str">
        <x:v>国航</x:v>
      </x:c>
      <x:c r="AB31" s="90" t="n">
        <x:v>0</x:v>
      </x:c>
      <x:c r="AC31" s="90" t="str">
        <x:v>3 小时 10 分钟</x:v>
      </x:c>
      <x:c r="AD31" s="138" t="n">
        <x:v>2744</x:v>
      </x:c>
      <x:c r="AE31" s="90" t="str">
        <x:v>匹配原始往返起价</x:v>
      </x:c>
      <x:c r="AF31" s="92" t="str">
        <x:v>https://www.google.com/travel/flights/search?tfs=CBwQAhpLEgoyMDI2LTEwLTA1IiAKA1BWRxIKMjAyNi0xMC0wNRoDS01HKgJDQTIENTc5NGoMCAISCC9tLzA2d2pmcg0IAhIJL20vMDFjMDZkGikSCjIwMjYtMTAtMDlqDQgCEgkvbS8wMWMwNmRyDAgCEggvbS8wNndqZkABSAFwAYIBCwj___________8BmAEB&amp;tfu=CmxDalJJWkZWWlJYTm9WSE5zUkc5QlJVUlBRbWRDUnkwdExTMHRMWE50WW1aM09TMXVNVUZCUVVGQlIzRlpRM1V3UkZSaVNVMUJFZ1pEUVRVM09UUWFDZ2k0RlJBQUdnTkRUbGs0SEhEOHZnST0SAggAIgA&amp;hl=zh-CN&amp;curr=CNY</x:v>
      </x:c>
    </x:row>
    <x:row r="32" ht="42" customHeight="1">
      <x:c r="A32" s="85" t="n">
        <x:f>ROW()-7</x:f>
        <x:v>25</x:v>
      </x:c>
      <x:c r="B32" s="86" t="n">
        <x:v>46297</x:v>
      </x:c>
      <x:c r="C32" s="86" t="n">
        <x:v>46303</x:v>
      </x:c>
      <x:c r="D32" s="87" t="n">
        <x:v>6</x:v>
      </x:c>
      <x:c r="E32" s="88" t="str">
        <x:v>昆航</x:v>
      </x:c>
      <x:c r="F32" s="88" t="str">
        <x:v>17:35</x:v>
      </x:c>
      <x:c r="G32" s="88" t="str">
        <x:v>20:50</x:v>
      </x:c>
      <x:c r="H32" s="88" t="str">
        <x:v>上海浦东国际机场</x:v>
      </x:c>
      <x:c r="I32" s="88" t="str">
        <x:v>昆明长水国际机场</x:v>
      </x:c>
      <x:c r="J32" s="88" t="n">
        <x:v>0</x:v>
      </x:c>
      <x:c r="K32" s="88" t="str">
        <x:v>—</x:v>
      </x:c>
      <x:c r="L32" s="88" t="str">
        <x:v>3 小时 15 分钟</x:v>
      </x:c>
      <x:c r="M32" s="89" t="n">
        <x:v>2823</x:v>
      </x:c>
      <x:c r="N32" s="89" t="n">
        <x:v>0</x:v>
      </x:c>
      <x:c r="O32" s="89" t="n">
        <x:f>M32+N32</x:f>
        <x:v>2823</x:v>
      </x:c>
      <x:c r="P32" s="88" t="str">
        <x:f>IF(O32&lt;5000,"是","否")</x:f>
        <x:v>是</x:v>
      </x:c>
      <x:c r="Q32" s="90" t="str">
        <x:v>国内经济舱通常含20kg；出票前须按实际票价等级复核</x:v>
      </x:c>
      <x:c r="R32" s="90" t="str">
        <x:v>该去程对应的最低可订返程组合；具体返程航班需打开来源链接确认</x:v>
      </x:c>
      <x:c r="S32" s="91" t="n">
        <x:v>46267.74517780093</x:v>
      </x:c>
      <x:c r="T32" s="92" t="str">
        <x:v>https://www.google.com/travel/flights?hl=zh-CN&amp;curr=CNY&amp;q=Flights%20from%20Shanghai%20to%20Kunming%20from%202026-10-02%20to%202026-10-08</x:v>
      </x:c>
      <x:c r="U32" s="136" t="n">
        <x:v>46303</x:v>
      </x:c>
      <x:c r="V32" s="90" t="str">
        <x:v>08:40</x:v>
      </x:c>
      <x:c r="W32" s="90" t="str">
        <x:v>昆明长水国际机场</x:v>
      </x:c>
      <x:c r="X32" s="137" t="n">
        <x:v>46303</x:v>
      </x:c>
      <x:c r="Y32" s="90" t="str">
        <x:v>12:00</x:v>
      </x:c>
      <x:c r="Z32" s="90" t="str">
        <x:v>上海浦东国际机场</x:v>
      </x:c>
      <x:c r="AA32" s="90" t="str">
        <x:v>昆航</x:v>
      </x:c>
      <x:c r="AB32" s="90" t="n">
        <x:v>0</x:v>
      </x:c>
      <x:c r="AC32" s="90" t="str">
        <x:v>3 小时 20 分钟</x:v>
      </x:c>
      <x:c r="AD32" s="138"/>
      <x:c r="AE32" s="90" t="str">
        <x:v>当前返程列表无价格，采用排序第一条</x:v>
      </x:c>
      <x:c r="AF32" s="92" t="str">
        <x:v>https://www.google.com/travel/flights/search?tfs=CBwQAhpLEgoyMDI2LTEwLTAyIiAKA1BWRxIKMjAyNi0xMC0wMhoDS01HKgJLWTIEODIxOGoMCAISCC9tLzA2d2pmcg0IAhIJL20vMDFjMDZkGikSCjIwMjYtMTAtMDhqDQgCEgkvbS8wMWMwNmRyDAgCEggvbS8wNndqZkABSAFwAYIBCwj___________8BmAEB&amp;tfu=CnBDalJJWmsxS2JWQnVWblJPWkc5QlJEWmxkV2RDUnkwdExTMHRMWE50ZFdNeU5DMXVNa0ZCUVVGQlIzRlpRM1paUm5NM1EzRkJFZ2hMV1RneU1UZ2pNUm9LQ0ljV0VBQWFBME5PV1RnY2NKVElBZz09EgIIACIA&amp;hl=zh-CN&amp;curr=CNY</x:v>
      </x:c>
    </x:row>
    <x:row r="33" ht="42" customHeight="1">
      <x:c r="A33" s="85" t="n">
        <x:f>ROW()-7</x:f>
        <x:v>26</x:v>
      </x:c>
      <x:c r="B33" s="86" t="n">
        <x:v>46297</x:v>
      </x:c>
      <x:c r="C33" s="86" t="n">
        <x:v>46303</x:v>
      </x:c>
      <x:c r="D33" s="87" t="n">
        <x:v>6</x:v>
      </x:c>
      <x:c r="E33" s="88" t="str">
        <x:v>昆航</x:v>
      </x:c>
      <x:c r="F33" s="88" t="str">
        <x:v>19:15</x:v>
      </x:c>
      <x:c r="G33" s="88" t="str">
        <x:v>22:50</x:v>
      </x:c>
      <x:c r="H33" s="88" t="str">
        <x:v>上海浦东国际机场</x:v>
      </x:c>
      <x:c r="I33" s="88" t="str">
        <x:v>昆明长水国际机场</x:v>
      </x:c>
      <x:c r="J33" s="88" t="n">
        <x:v>0</x:v>
      </x:c>
      <x:c r="K33" s="88" t="str">
        <x:v>—</x:v>
      </x:c>
      <x:c r="L33" s="88" t="str">
        <x:v>3 小时 35 分钟</x:v>
      </x:c>
      <x:c r="M33" s="89" t="n">
        <x:v>2823</x:v>
      </x:c>
      <x:c r="N33" s="89" t="n">
        <x:v>0</x:v>
      </x:c>
      <x:c r="O33" s="89" t="n">
        <x:f>M33+N33</x:f>
        <x:v>2823</x:v>
      </x:c>
      <x:c r="P33" s="88" t="str">
        <x:f>IF(O33&lt;5000,"是","否")</x:f>
        <x:v>是</x:v>
      </x:c>
      <x:c r="Q33" s="90" t="str">
        <x:v>国内经济舱通常含20kg；出票前须按实际票价等级复核</x:v>
      </x:c>
      <x:c r="R33" s="90" t="str">
        <x:v>该去程对应的最低可订返程组合；具体返程航班需打开来源链接确认</x:v>
      </x:c>
      <x:c r="S33" s="91" t="n">
        <x:v>46267.74517780093</x:v>
      </x:c>
      <x:c r="T33" s="92" t="str">
        <x:v>https://www.google.com/travel/flights?hl=zh-CN&amp;curr=CNY&amp;q=Flights%20from%20Shanghai%20to%20Kunming%20from%202026-10-02%20to%202026-10-08</x:v>
      </x:c>
      <x:c r="U33" s="136" t="n">
        <x:v>46303</x:v>
      </x:c>
      <x:c r="V33" s="90" t="str">
        <x:v>08:40</x:v>
      </x:c>
      <x:c r="W33" s="90" t="str">
        <x:v>昆明长水国际机场</x:v>
      </x:c>
      <x:c r="X33" s="137" t="n">
        <x:v>46303</x:v>
      </x:c>
      <x:c r="Y33" s="90" t="str">
        <x:v>12:00</x:v>
      </x:c>
      <x:c r="Z33" s="90" t="str">
        <x:v>上海浦东国际机场</x:v>
      </x:c>
      <x:c r="AA33" s="90" t="str">
        <x:v>昆航</x:v>
      </x:c>
      <x:c r="AB33" s="90" t="n">
        <x:v>0</x:v>
      </x:c>
      <x:c r="AC33" s="90" t="str">
        <x:v>3 小时 20 分钟</x:v>
      </x:c>
      <x:c r="AD33" s="138" t="n">
        <x:v>2823</x:v>
      </x:c>
      <x:c r="AE33" s="90" t="str">
        <x:v>匹配原始往返起价</x:v>
      </x:c>
      <x:c r="AF33" s="92" t="str">
        <x:v>https://www.google.com/travel/flights/search?tfs=CBwQAhpLEgoyMDI2LTEwLTAyIiAKA1BWRxIKMjAyNi0xMC0wMhoDS01HKgJLWTIEODIyMmoMCAISCC9tLzA2d2pmcg0IAhIJL20vMDFjMDZkGikSCjIwMjYtMTAtMDhqDQgCEgkvbS8wMWMwNmRyDAgCEggvbS8wNndqZkABSAFwAYIBCwj___________8BmAEB&amp;tfu=ClhDalJJV0Raek9XaExUWEpYVGtsQlJXcGZibmRDUnkwdExTMHRMUzF6WlhSdE9DMXVNVUZCUVVGQlIzRlpRM1pWU1dOT1prbEJFZ1pMV1RneU1qSTRIQT09EgIIACIA&amp;hl=zh-CN&amp;curr=CNY</x:v>
      </x:c>
    </x:row>
    <x:row r="34" ht="42" customHeight="1">
      <x:c r="A34" s="85" t="n">
        <x:f>ROW()-7</x:f>
        <x:v>27</x:v>
      </x:c>
      <x:c r="B34" s="86" t="n">
        <x:v>46298</x:v>
      </x:c>
      <x:c r="C34" s="86" t="n">
        <x:v>46303</x:v>
      </x:c>
      <x:c r="D34" s="87" t="n">
        <x:v>5</x:v>
      </x:c>
      <x:c r="E34" s="88" t="str">
        <x:v>春航</x:v>
      </x:c>
      <x:c r="F34" s="88" t="str">
        <x:v>07:45</x:v>
      </x:c>
      <x:c r="G34" s="88" t="str">
        <x:v>10:55</x:v>
      </x:c>
      <x:c r="H34" s="88" t="str">
        <x:v>上海虹桥国际机场</x:v>
      </x:c>
      <x:c r="I34" s="88" t="str">
        <x:v>昆明长水国际机场</x:v>
      </x:c>
      <x:c r="J34" s="88" t="n">
        <x:v>0</x:v>
      </x:c>
      <x:c r="K34" s="88" t="str">
        <x:v>—</x:v>
      </x:c>
      <x:c r="L34" s="88" t="str">
        <x:v>3 小时 10 分钟</x:v>
      </x:c>
      <x:c r="M34" s="89" t="n">
        <x:v>2480</x:v>
      </x:c>
      <x:c r="N34" s="89" t="n">
        <x:v>350</x:v>
      </x:c>
      <x:c r="O34" s="89" t="n">
        <x:f>M34+N34</x:f>
        <x:v>2830</x:v>
      </x:c>
      <x:c r="P34" s="88" t="str">
        <x:f>IF(O34&lt;5000,"是","否")</x:f>
        <x:v>是</x:v>
      </x:c>
      <x:c r="Q34" s="90" t="str">
        <x:v>春秋低价票可能不含托运；按国内往返20kg保守预留¥350</x:v>
      </x:c>
      <x:c r="R34" s="90" t="str">
        <x:v>该去程对应的最低可订返程组合；具体返程航班需打开来源链接确认</x:v>
      </x:c>
      <x:c r="S34" s="91" t="n">
        <x:v>46267.74517780093</x:v>
      </x:c>
      <x:c r="T34" s="92" t="str">
        <x:v>https://www.google.com/travel/flights?hl=zh-CN&amp;curr=CNY&amp;q=Flights%20from%20Shanghai%20to%20Kunming%20from%202026-10-03%20to%202026-10-08</x:v>
      </x:c>
      <x:c r="U34" s="136" t="n">
        <x:v>46303</x:v>
      </x:c>
      <x:c r="V34" s="90" t="str">
        <x:v>19:20</x:v>
      </x:c>
      <x:c r="W34" s="90" t="str">
        <x:v>昆明长水国际机场</x:v>
      </x:c>
      <x:c r="X34" s="137" t="n">
        <x:v>46303</x:v>
      </x:c>
      <x:c r="Y34" s="90" t="str">
        <x:v>23:55</x:v>
      </x:c>
      <x:c r="Z34" s="90" t="str">
        <x:v>上海虹桥国际机场</x:v>
      </x:c>
      <x:c r="AA34" s="90" t="str">
        <x:v>春航</x:v>
      </x:c>
      <x:c r="AB34" s="90" t="n">
        <x:v>0</x:v>
      </x:c>
      <x:c r="AC34" s="90" t="str">
        <x:v>4 小时 35 分钟</x:v>
      </x:c>
      <x:c r="AD34" s="138" t="n">
        <x:v>2480</x:v>
      </x:c>
      <x:c r="AE34" s="90" t="str">
        <x:v>匹配原始往返起价</x:v>
      </x:c>
      <x:c r="AF34" s="92" t="str">
        <x:v>https://www.google.com/travel/flights/search?tfs=CBwQAhpLEgoyMDI2LTEwLTAzIiAKA1NIQRIKMjAyNi0xMC0wMxoDS01HKgI5QzIEODk1M2oMCAISCC9tLzA2d2pmcg0IAhIJL20vMDFjMDZkGikSCjIwMjYtMTAtMDhqDQgCEgkvbS8wMWMwNmRyDAgCEggvbS8wNndqZkABSAFwAYIBCwj___________8BmAEB&amp;tfu=CmxDalJJUjJOcVVEZzBWMGRIYlVWQlJXd3dlRUZDUnkwdExTMHRMUzB0YzJWaVluVXpOVUZCUVVGQlIzRlpRM1pWUTIxZmRtOUJFZ1k1UXpnNU5UTWFDZ2l3RXhBQUdnTkRUbGs0SEhDa29BST0SAggAIgMKATA&amp;hl=zh-CN&amp;curr=CNY</x:v>
      </x:c>
    </x:row>
    <x:row r="35" ht="42" customHeight="1">
      <x:c r="A35" s="85" t="n">
        <x:f>ROW()-7</x:f>
        <x:v>28</x:v>
      </x:c>
      <x:c r="B35" s="86" t="n">
        <x:v>46297</x:v>
      </x:c>
      <x:c r="C35" s="86" t="n">
        <x:v>46303</x:v>
      </x:c>
      <x:c r="D35" s="87" t="n">
        <x:v>6</x:v>
      </x:c>
      <x:c r="E35" s="88" t="str">
        <x:v>昆航</x:v>
      </x:c>
      <x:c r="F35" s="88" t="str">
        <x:v>13:20</x:v>
      </x:c>
      <x:c r="G35" s="88" t="str">
        <x:v>16:40</x:v>
      </x:c>
      <x:c r="H35" s="88" t="str">
        <x:v>上海浦东国际机场</x:v>
      </x:c>
      <x:c r="I35" s="88" t="str">
        <x:v>昆明长水国际机场</x:v>
      </x:c>
      <x:c r="J35" s="88" t="n">
        <x:v>0</x:v>
      </x:c>
      <x:c r="K35" s="88" t="str">
        <x:v>—</x:v>
      </x:c>
      <x:c r="L35" s="88" t="str">
        <x:v>3 小时 20 分钟</x:v>
      </x:c>
      <x:c r="M35" s="89" t="n">
        <x:v>2941</x:v>
      </x:c>
      <x:c r="N35" s="89" t="n">
        <x:v>0</x:v>
      </x:c>
      <x:c r="O35" s="89" t="n">
        <x:f>M35+N35</x:f>
        <x:v>2941</x:v>
      </x:c>
      <x:c r="P35" s="88" t="str">
        <x:f>IF(O35&lt;5000,"是","否")</x:f>
        <x:v>是</x:v>
      </x:c>
      <x:c r="Q35" s="90" t="str">
        <x:v>国内经济舱通常含20kg；出票前须按实际票价等级复核</x:v>
      </x:c>
      <x:c r="R35" s="90" t="str">
        <x:v>该去程对应的最低可订返程组合；具体返程航班需打开来源链接确认</x:v>
      </x:c>
      <x:c r="S35" s="91" t="n">
        <x:v>46267.74517780093</x:v>
      </x:c>
      <x:c r="T35" s="92" t="str">
        <x:v>https://www.google.com/travel/flights?hl=zh-CN&amp;curr=CNY&amp;q=Flights%20from%20Shanghai%20to%20Kunming%20from%202026-10-02%20to%202026-10-08</x:v>
      </x:c>
      <x:c r="U35" s="136" t="n">
        <x:v>46303</x:v>
      </x:c>
      <x:c r="V35" s="90" t="str">
        <x:v>08:40</x:v>
      </x:c>
      <x:c r="W35" s="90" t="str">
        <x:v>昆明长水国际机场</x:v>
      </x:c>
      <x:c r="X35" s="137" t="n">
        <x:v>46303</x:v>
      </x:c>
      <x:c r="Y35" s="90" t="str">
        <x:v>12:00</x:v>
      </x:c>
      <x:c r="Z35" s="90" t="str">
        <x:v>上海浦东国际机场</x:v>
      </x:c>
      <x:c r="AA35" s="90" t="str">
        <x:v>昆航</x:v>
      </x:c>
      <x:c r="AB35" s="90" t="n">
        <x:v>0</x:v>
      </x:c>
      <x:c r="AC35" s="90" t="str">
        <x:v>3 小时 20 分钟</x:v>
      </x:c>
      <x:c r="AD35" s="138" t="n">
        <x:v>2941</x:v>
      </x:c>
      <x:c r="AE35" s="90" t="str">
        <x:v>匹配原始往返起价</x:v>
      </x:c>
      <x:c r="AF35" s="92" t="str">
        <x:v>https://www.google.com/travel/flights/search?tfs=CBwQAhpLEgoyMDI2LTEwLTAyIiAKA1BWRxIKMjAyNi0xMC0wMhoDS01HKgJLWTIEODIyMGoMCAISCC9tLzA2d2pmcg0IAhIJL20vMDFjMDZkGikSCjIwMjYtMTAtMDhqDQgCEgkvbS8wMWMwNmRyDAgCEggvbS8wNndqZkABSAFwAYIBCwj___________8BmAEB&amp;tfu=CmxDalJJT1hWcVIzUnVRa3BOUjAxQlJEbHBhM2RDUnkwdExTMHRMWE50ZEhneE5pMXVNa0ZCUVVGQlIzRlpRM1paUkMxR1JFTkJFZ1pMV1RneU1qQWFDZ2o5RmhBQUdnTkRUbGs0SEhEdjFRST0SAggAIgA&amp;hl=zh-CN&amp;curr=CNY</x:v>
      </x:c>
    </x:row>
    <x:row r="36" ht="42" customHeight="1">
      <x:c r="A36" s="85" t="n">
        <x:f>ROW()-7</x:f>
        <x:v>29</x:v>
      </x:c>
      <x:c r="B36" s="86" t="n">
        <x:v>46298</x:v>
      </x:c>
      <x:c r="C36" s="86" t="n">
        <x:v>46304</x:v>
      </x:c>
      <x:c r="D36" s="87" t="n">
        <x:v>6</x:v>
      </x:c>
      <x:c r="E36" s="88" t="str">
        <x:v>吉祥航空</x:v>
      </x:c>
      <x:c r="F36" s="88" t="str">
        <x:v>14:25</x:v>
      </x:c>
      <x:c r="G36" s="88" t="str">
        <x:v>17:40</x:v>
      </x:c>
      <x:c r="H36" s="88" t="str">
        <x:v>上海虹桥国际机场</x:v>
      </x:c>
      <x:c r="I36" s="88" t="str">
        <x:v>昆明长水国际机场</x:v>
      </x:c>
      <x:c r="J36" s="88" t="n">
        <x:v>0</x:v>
      </x:c>
      <x:c r="K36" s="88" t="str">
        <x:v>—</x:v>
      </x:c>
      <x:c r="L36" s="88" t="str">
        <x:v>3 小时 15 分钟</x:v>
      </x:c>
      <x:c r="M36" s="89" t="n">
        <x:v>2950</x:v>
      </x:c>
      <x:c r="N36" s="89" t="n">
        <x:v>0</x:v>
      </x:c>
      <x:c r="O36" s="89" t="n">
        <x:f>M36+N36</x:f>
        <x:v>2950</x:v>
      </x:c>
      <x:c r="P36" s="88" t="str">
        <x:f>IF(O36&lt;5000,"是","否")</x:f>
        <x:v>是</x:v>
      </x:c>
      <x:c r="Q36" s="90" t="str">
        <x:v>国内经济舱通常含20kg；出票前须按实际票价等级复核</x:v>
      </x:c>
      <x:c r="R36" s="90" t="str">
        <x:v>该去程对应的最低可订返程组合；具体返程航班需打开来源链接确认</x:v>
      </x:c>
      <x:c r="S36" s="91" t="n">
        <x:v>46267.74517780093</x:v>
      </x:c>
      <x:c r="T36" s="92" t="str">
        <x:v>https://www.google.com/travel/flights?hl=zh-CN&amp;curr=CNY&amp;q=Flights%20from%20Shanghai%20to%20Kunming%20from%202026-10-03%20to%202026-10-09</x:v>
      </x:c>
      <x:c r="U36" s="136" t="n">
        <x:v>46304</x:v>
      </x:c>
      <x:c r="V36" s="90" t="str">
        <x:v>06:30</x:v>
      </x:c>
      <x:c r="W36" s="90" t="str">
        <x:v>昆明长水国际机场</x:v>
      </x:c>
      <x:c r="X36" s="137" t="n">
        <x:v>46304</x:v>
      </x:c>
      <x:c r="Y36" s="90" t="str">
        <x:v>13:35</x:v>
      </x:c>
      <x:c r="Z36" s="90" t="str">
        <x:v>上海虹桥国际机场</x:v>
      </x:c>
      <x:c r="AA36" s="90" t="str">
        <x:v>川航和吉祥航空</x:v>
      </x:c>
      <x:c r="AB36" s="90" t="n">
        <x:v>1</x:v>
      </x:c>
      <x:c r="AC36" s="90" t="str">
        <x:v>7 小时 5 分钟</x:v>
      </x:c>
      <x:c r="AD36" s="138"/>
      <x:c r="AE36" s="90" t="str">
        <x:v>当前返程列表无价格，采用排序第一条</x:v>
      </x:c>
      <x:c r="AF36" s="92" t="str">
        <x:v>https://www.google.com/travel/flights/search?tfs=CBwQAhpLEgoyMDI2LTEwLTAzIiAKA1NIQRIKMjAyNi0xMC0wMxoDS01HKgJITzIEMTA4M2oMCAISCC9tLzA2d2pmcg0IAhIJL20vMDFjMDZkGikSCjIwMjYtMTAtMDlqDQgCEgkvbS8wMWMwNmRyDAgCEggvbS8wNndqZkABSAFwAYIBCwj___________8BmAEB&amp;tfu=CmxDalJJYTBKcFduQjNPRU4zUjFGQlJYRk1XVkZDUnkwdExTMHRMWE5sY0dReE1TMXVNVUZCUVVGQlIzRlpRM1l3VGpScE9GbEJFZ1pJVHpFd09ETWFDZ2k0RlJBQUdnTkRUbGs0SEhEOHZnST0SAggAIgMKATA&amp;hl=zh-CN&amp;curr=CNY</x:v>
      </x:c>
    </x:row>
    <x:row r="37" ht="42" customHeight="1">
      <x:c r="A37" s="85" t="n">
        <x:f>ROW()-7</x:f>
        <x:v>30</x:v>
      </x:c>
      <x:c r="B37" s="86" t="n">
        <x:v>46299</x:v>
      </x:c>
      <x:c r="C37" s="86" t="n">
        <x:v>46304</x:v>
      </x:c>
      <x:c r="D37" s="87" t="n">
        <x:v>5</x:v>
      </x:c>
      <x:c r="E37" s="88" t="str">
        <x:v>吉祥航空</x:v>
      </x:c>
      <x:c r="F37" s="88" t="str">
        <x:v>07:50</x:v>
      </x:c>
      <x:c r="G37" s="88" t="str">
        <x:v>11:10</x:v>
      </x:c>
      <x:c r="H37" s="88" t="str">
        <x:v>上海虹桥国际机场</x:v>
      </x:c>
      <x:c r="I37" s="88" t="str">
        <x:v>昆明长水国际机场</x:v>
      </x:c>
      <x:c r="J37" s="88" t="n">
        <x:v>0</x:v>
      </x:c>
      <x:c r="K37" s="88" t="str">
        <x:v>—</x:v>
      </x:c>
      <x:c r="L37" s="88" t="str">
        <x:v>3 小时 20 分钟</x:v>
      </x:c>
      <x:c r="M37" s="89" t="n">
        <x:v>2950</x:v>
      </x:c>
      <x:c r="N37" s="89" t="n">
        <x:v>0</x:v>
      </x:c>
      <x:c r="O37" s="89" t="n">
        <x:f>M37+N37</x:f>
        <x:v>2950</x:v>
      </x:c>
      <x:c r="P37" s="88" t="str">
        <x:f>IF(O37&lt;5000,"是","否")</x:f>
        <x:v>是</x:v>
      </x:c>
      <x:c r="Q37" s="90" t="str">
        <x:v>国内经济舱通常含20kg；出票前须按实际票价等级复核</x:v>
      </x:c>
      <x:c r="R37" s="90" t="str">
        <x:v>该去程对应的最低可订返程组合；具体返程航班需打开来源链接确认</x:v>
      </x:c>
      <x:c r="S37" s="91" t="n">
        <x:v>46267.74517780093</x:v>
      </x:c>
      <x:c r="T37" s="92" t="str">
        <x:v>https://www.google.com/travel/flights?hl=zh-CN&amp;curr=CNY&amp;q=Flights%20from%20Shanghai%20to%20Kunming%20from%202026-10-04%20to%202026-10-09</x:v>
      </x:c>
      <x:c r="U37" s="136" t="n">
        <x:v>46304</x:v>
      </x:c>
      <x:c r="V37" s="90" t="str">
        <x:v>07:00</x:v>
      </x:c>
      <x:c r="W37" s="90" t="str">
        <x:v>昆明长水国际机场</x:v>
      </x:c>
      <x:c r="X37" s="137" t="n">
        <x:v>46304</x:v>
      </x:c>
      <x:c r="Y37" s="90" t="str">
        <x:v>14:45</x:v>
      </x:c>
      <x:c r="Z37" s="90" t="str">
        <x:v>上海虹桥国际机场</x:v>
      </x:c>
      <x:c r="AA37" s="90" t="str">
        <x:v>国航</x:v>
      </x:c>
      <x:c r="AB37" s="90" t="n">
        <x:v>1</x:v>
      </x:c>
      <x:c r="AC37" s="90" t="str">
        <x:v>7 小时 45 分钟</x:v>
      </x:c>
      <x:c r="AD37" s="138"/>
      <x:c r="AE37" s="90" t="str">
        <x:v>当前返程列表无价格，采用排序第一条</x:v>
      </x:c>
      <x:c r="AF37" s="92" t="str">
        <x:v>https://www.google.com/travel/flights/search?tfs=CBwQAhpLEgoyMDI2LTEwLTA0IiAKA1NIQRIKMjAyNi0xMC0wNBoDS01HKgJITzIEMTEyMWoMCAISCC9tLzA2d2pmcg0IAhIJL20vMDFjMDZkGikSCjIwMjYtMTAtMDlqDQgCEgkvbS8wMWMwNmRyDAgCEggvbS8wNndqZkABSAFwAYIBCwj___________8BmAEB&amp;tfu=CmxDalJJYlhCeE56bGlkak5LY1dkQlJERXpVbWRDUnkwdExTMHRMUzF6YlhWNE9DMXVNa0ZCUVVGQlIzRlpRM1kwUmtKeWNGbEJFZ1pJVHpFeE1qRWFDZ2p0RWhBQUdnTkRUbGs0SEhDL21BST0SAggAIgMSATA&amp;hl=zh-CN&amp;curr=CNY</x:v>
      </x:c>
    </x:row>
    <x:row r="38" ht="42" customHeight="1">
      <x:c r="A38" s="85" t="n">
        <x:f>ROW()-7</x:f>
        <x:v>31</x:v>
      </x:c>
      <x:c r="B38" s="86" t="n">
        <x:v>46297</x:v>
      </x:c>
      <x:c r="C38" s="86" t="n">
        <x:v>46303</x:v>
      </x:c>
      <x:c r="D38" s="87" t="n">
        <x:v>6</x:v>
      </x:c>
      <x:c r="E38" s="88" t="str">
        <x:v>春航</x:v>
      </x:c>
      <x:c r="F38" s="88" t="str">
        <x:v>13:25</x:v>
      </x:c>
      <x:c r="G38" s="88" t="str">
        <x:v>18:15</x:v>
      </x:c>
      <x:c r="H38" s="88" t="str">
        <x:v>上海虹桥国际机场</x:v>
      </x:c>
      <x:c r="I38" s="88" t="str">
        <x:v>昆明长水国际机场</x:v>
      </x:c>
      <x:c r="J38" s="88" t="n">
        <x:v>0</x:v>
      </x:c>
      <x:c r="K38" s="88" t="str">
        <x:v>—</x:v>
      </x:c>
      <x:c r="L38" s="88" t="str">
        <x:v>4 小时 50 分钟</x:v>
      </x:c>
      <x:c r="M38" s="89" t="n">
        <x:v>2680</x:v>
      </x:c>
      <x:c r="N38" s="89" t="n">
        <x:v>350</x:v>
      </x:c>
      <x:c r="O38" s="89" t="n">
        <x:f>M38+N38</x:f>
        <x:v>3030</x:v>
      </x:c>
      <x:c r="P38" s="88" t="str">
        <x:f>IF(O38&lt;5000,"是","否")</x:f>
        <x:v>是</x:v>
      </x:c>
      <x:c r="Q38" s="90" t="str">
        <x:v>春秋低价票可能不含托运；按国内往返20kg保守预留¥350</x:v>
      </x:c>
      <x:c r="R38" s="90" t="str">
        <x:v>该去程对应的最低可订返程组合；具体返程航班需打开来源链接确认</x:v>
      </x:c>
      <x:c r="S38" s="91" t="n">
        <x:v>46267.74517780093</x:v>
      </x:c>
      <x:c r="T38" s="92" t="str">
        <x:v>https://www.google.com/travel/flights?hl=zh-CN&amp;curr=CNY&amp;q=Flights%20from%20Shanghai%20to%20Kunming%20from%202026-10-02%20to%202026-10-08</x:v>
      </x:c>
      <x:c r="U38" s="136" t="n">
        <x:v>46303</x:v>
      </x:c>
      <x:c r="V38" s="90" t="str">
        <x:v>19:20</x:v>
      </x:c>
      <x:c r="W38" s="90" t="str">
        <x:v>昆明长水国际机场</x:v>
      </x:c>
      <x:c r="X38" s="137" t="n">
        <x:v>46303</x:v>
      </x:c>
      <x:c r="Y38" s="90" t="str">
        <x:v>23:55</x:v>
      </x:c>
      <x:c r="Z38" s="90" t="str">
        <x:v>上海虹桥国际机场</x:v>
      </x:c>
      <x:c r="AA38" s="90" t="str">
        <x:v>春航</x:v>
      </x:c>
      <x:c r="AB38" s="90" t="n">
        <x:v>0</x:v>
      </x:c>
      <x:c r="AC38" s="90" t="str">
        <x:v>4 小时 35 分钟</x:v>
      </x:c>
      <x:c r="AD38" s="138" t="n">
        <x:v>2680</x:v>
      </x:c>
      <x:c r="AE38" s="90" t="str">
        <x:v>匹配原始往返起价</x:v>
      </x:c>
      <x:c r="AF38" s="92" t="str">
        <x:v>https://www.google.com/travel/flights/search?tfs=CBwQAhpLEgoyMDI2LTEwLTAyIiAKA1NIQRIKMjAyNi0xMC0wMhoDS01HKgI5QzIEODgyOWoMCAISCC9tLzA2d2pmcg0IAhIJL20vMDFjMDZkGikSCjIwMjYtMTAtMDhqDQgCEgkvbS8wMWMwNmRyDAgCEggvbS8wNndqZkABSAFwAYIBCwj___________8BmAEB&amp;tfu=CmxDalJJYTBKcFduQjNPRU4zUjFGQlJYRk1jM2RDUnkwdExTMHRMWE5sY0dReE1TMXVNVUZCUVVGQlIzRlpRM1kwVFhsVWRFVkJFZ1k1UXpnNE1qa2FDZ2o0RkJBQUdnTkRUbGs0SEhERXR3ST0SAggAIgA&amp;hl=zh-CN&amp;curr=CNY</x:v>
      </x:c>
    </x:row>
    <x:row r="39" ht="42" customHeight="1">
      <x:c r="A39" s="85" t="n">
        <x:f>ROW()-7</x:f>
        <x:v>32</x:v>
      </x:c>
      <x:c r="B39" s="86" t="n">
        <x:v>46296</x:v>
      </x:c>
      <x:c r="C39" s="86" t="n">
        <x:v>46300</x:v>
      </x:c>
      <x:c r="D39" s="87" t="n">
        <x:v>4</x:v>
      </x:c>
      <x:c r="E39" s="88" t="str">
        <x:v>昆航</x:v>
      </x:c>
      <x:c r="F39" s="88" t="str">
        <x:v>19:15</x:v>
      </x:c>
      <x:c r="G39" s="88" t="str">
        <x:v>22:50</x:v>
      </x:c>
      <x:c r="H39" s="88" t="str">
        <x:v>上海浦东国际机场</x:v>
      </x:c>
      <x:c r="I39" s="88" t="str">
        <x:v>昆明长水国际机场</x:v>
      </x:c>
      <x:c r="J39" s="88" t="n">
        <x:v>0</x:v>
      </x:c>
      <x:c r="K39" s="88" t="str">
        <x:v>—</x:v>
      </x:c>
      <x:c r="L39" s="88" t="str">
        <x:v>3 小时 35 分钟</x:v>
      </x:c>
      <x:c r="M39" s="89" t="n">
        <x:v>3159</x:v>
      </x:c>
      <x:c r="N39" s="89" t="n">
        <x:v>0</x:v>
      </x:c>
      <x:c r="O39" s="89" t="n">
        <x:f>M39+N39</x:f>
        <x:v>3159</x:v>
      </x:c>
      <x:c r="P39" s="88" t="str">
        <x:f>IF(O39&lt;5000,"是","否")</x:f>
        <x:v>是</x:v>
      </x:c>
      <x:c r="Q39" s="90" t="str">
        <x:v>国内经济舱通常含20kg；出票前须按实际票价等级复核</x:v>
      </x:c>
      <x:c r="R39" s="90" t="str">
        <x:v>该去程对应的最低可订返程组合；具体返程航班需打开来源链接确认</x:v>
      </x:c>
      <x:c r="S39" s="91" t="n">
        <x:v>46267.74517780093</x:v>
      </x:c>
      <x:c r="T39" s="92" t="str">
        <x:v>https://www.google.com/travel/flights?hl=zh-CN&amp;curr=CNY&amp;q=Flights%20from%20Shanghai%20to%20Kunming%20from%202026-10-01%20to%202026-10-05</x:v>
      </x:c>
      <x:c r="U39" s="136" t="n">
        <x:v>46300</x:v>
      </x:c>
      <x:c r="V39" s="90" t="str">
        <x:v>08:40</x:v>
      </x:c>
      <x:c r="W39" s="90" t="str">
        <x:v>昆明长水国际机场</x:v>
      </x:c>
      <x:c r="X39" s="137" t="n">
        <x:v>46300</x:v>
      </x:c>
      <x:c r="Y39" s="90" t="str">
        <x:v>12:00</x:v>
      </x:c>
      <x:c r="Z39" s="90" t="str">
        <x:v>上海浦东国际机场</x:v>
      </x:c>
      <x:c r="AA39" s="90" t="str">
        <x:v>昆航</x:v>
      </x:c>
      <x:c r="AB39" s="90" t="n">
        <x:v>0</x:v>
      </x:c>
      <x:c r="AC39" s="90" t="str">
        <x:v>3 小时 20 分钟</x:v>
      </x:c>
      <x:c r="AD39" s="138" t="n">
        <x:v>3510</x:v>
      </x:c>
      <x:c r="AE39" s="90" t="str">
        <x:v>当前价格已变化，采用当前最低价返程</x:v>
      </x:c>
      <x:c r="AF39" s="92" t="str">
        <x:v>https://www.google.com/travel/flights/search?tfs=CBwQAhpLEgoyMDI2LTEwLTAxIiAKA1BWRxIKMjAyNi0xMC0wMRoDS01HKgJLWTIEODIyMmoMCAISCC9tLzA2d2pmcg0IAhIJL20vMDFjMDZkGikSCjIwMjYtMTAtMDVqDQgCEgkvbS8wMWMwNmRyDAgCEggvbS8wNndqZkABSAFwAYIBCwj___________8BmAEB&amp;tfu=ClhDalJJZEU5VWJEQndRbVpTWVhkQlIxcE1kVUZDUnkwdExTMHRMUzB0YzJWaVozSXpNMEZCUVVGQlIzRlpRM1kwUjBwM2VtdEJFZ1pMV1RneU1qSTRIQT09EgIIACIA&amp;hl=zh-CN&amp;curr=CNY</x:v>
      </x:c>
    </x:row>
    <x:row r="40" ht="42" customHeight="1">
      <x:c r="A40" s="85" t="n">
        <x:f>ROW()-7</x:f>
        <x:v>33</x:v>
      </x:c>
      <x:c r="B40" s="86" t="n">
        <x:v>46297</x:v>
      </x:c>
      <x:c r="C40" s="86" t="n">
        <x:v>46303</x:v>
      </x:c>
      <x:c r="D40" s="87" t="n">
        <x:v>6</x:v>
      </x:c>
      <x:c r="E40" s="88" t="str">
        <x:v>春航</x:v>
      </x:c>
      <x:c r="F40" s="88" t="str">
        <x:v>07:45</x:v>
      </x:c>
      <x:c r="G40" s="88" t="str">
        <x:v>10:55</x:v>
      </x:c>
      <x:c r="H40" s="88" t="str">
        <x:v>上海虹桥国际机场</x:v>
      </x:c>
      <x:c r="I40" s="88" t="str">
        <x:v>昆明长水国际机场</x:v>
      </x:c>
      <x:c r="J40" s="88" t="n">
        <x:v>0</x:v>
      </x:c>
      <x:c r="K40" s="88" t="str">
        <x:v>—</x:v>
      </x:c>
      <x:c r="L40" s="88" t="str">
        <x:v>3 小时 10 分钟</x:v>
      </x:c>
      <x:c r="M40" s="89" t="n">
        <x:v>2820</x:v>
      </x:c>
      <x:c r="N40" s="89" t="n">
        <x:v>350</x:v>
      </x:c>
      <x:c r="O40" s="89" t="n">
        <x:f>M40+N40</x:f>
        <x:v>3170</x:v>
      </x:c>
      <x:c r="P40" s="88" t="str">
        <x:f>IF(O40&lt;5000,"是","否")</x:f>
        <x:v>是</x:v>
      </x:c>
      <x:c r="Q40" s="90" t="str">
        <x:v>春秋低价票可能不含托运；按国内往返20kg保守预留¥350</x:v>
      </x:c>
      <x:c r="R40" s="90" t="str">
        <x:v>该去程对应的最低可订返程组合；具体返程航班需打开来源链接确认</x:v>
      </x:c>
      <x:c r="S40" s="91" t="n">
        <x:v>46267.74517780093</x:v>
      </x:c>
      <x:c r="T40" s="92" t="str">
        <x:v>https://www.google.com/travel/flights?hl=zh-CN&amp;curr=CNY&amp;q=Flights%20from%20Shanghai%20to%20Kunming%20from%202026-10-02%20to%202026-10-08</x:v>
      </x:c>
      <x:c r="U40" s="136" t="n">
        <x:v>46303</x:v>
      </x:c>
      <x:c r="V40" s="90" t="str">
        <x:v>19:20</x:v>
      </x:c>
      <x:c r="W40" s="90" t="str">
        <x:v>昆明长水国际机场</x:v>
      </x:c>
      <x:c r="X40" s="137" t="n">
        <x:v>46303</x:v>
      </x:c>
      <x:c r="Y40" s="90" t="str">
        <x:v>23:55</x:v>
      </x:c>
      <x:c r="Z40" s="90" t="str">
        <x:v>上海虹桥国际机场</x:v>
      </x:c>
      <x:c r="AA40" s="90" t="str">
        <x:v>春航</x:v>
      </x:c>
      <x:c r="AB40" s="90" t="n">
        <x:v>0</x:v>
      </x:c>
      <x:c r="AC40" s="90" t="str">
        <x:v>4 小时 35 分钟</x:v>
      </x:c>
      <x:c r="AD40" s="138" t="n">
        <x:v>2820</x:v>
      </x:c>
      <x:c r="AE40" s="90" t="str">
        <x:v>匹配原始往返起价</x:v>
      </x:c>
      <x:c r="AF40" s="92" t="str">
        <x:v>https://www.google.com/travel/flights/search?tfs=CBwQAhpLEgoyMDI2LTEwLTAyIiAKA1NIQRIKMjAyNi0xMC0wMhoDS01HKgI5QzIEODk1M2oMCAISCC9tLzA2d2pmcg0IAhIJL20vMDFjMDZkGikSCjIwMjYtMTAtMDhqDQgCEgkvbS8wMWMwNmRyDAgCEggvbS8wNndqZkABSAFwAYIBCwj___________8BmAEB&amp;tfu=CmxDalJJYjBOd1MydElWbTlpTW1OQlJIVkhPVUZDUnkwdExTMHRMWE50WTNkck55MXVNa0ZCUVVGQlIzRlpRM2hyUVhGVFJHZEJFZ1k1UXpnNU5UTWFDZ2lFRmhBQUdnTkRUbGs0SEhEbnh3ST0SAggAIgMSATA&amp;hl=zh-CN&amp;curr=CNY</x:v>
      </x:c>
    </x:row>
    <x:row r="41" ht="42" customHeight="1">
      <x:c r="A41" s="85" t="n">
        <x:f>ROW()-7</x:f>
        <x:v>34</x:v>
      </x:c>
      <x:c r="B41" s="86" t="n">
        <x:v>46298</x:v>
      </x:c>
      <x:c r="C41" s="86" t="n">
        <x:v>46304</x:v>
      </x:c>
      <x:c r="D41" s="87" t="n">
        <x:v>6</x:v>
      </x:c>
      <x:c r="E41" s="88" t="str">
        <x:v>吉祥航空</x:v>
      </x:c>
      <x:c r="F41" s="88" t="str">
        <x:v>07:50</x:v>
      </x:c>
      <x:c r="G41" s="88" t="str">
        <x:v>11:10</x:v>
      </x:c>
      <x:c r="H41" s="88" t="str">
        <x:v>上海虹桥国际机场</x:v>
      </x:c>
      <x:c r="I41" s="88" t="str">
        <x:v>昆明长水国际机场</x:v>
      </x:c>
      <x:c r="J41" s="88" t="n">
        <x:v>0</x:v>
      </x:c>
      <x:c r="K41" s="88" t="str">
        <x:v>—</x:v>
      </x:c>
      <x:c r="L41" s="88" t="str">
        <x:v>3 小时 20 分钟</x:v>
      </x:c>
      <x:c r="M41" s="89" t="n">
        <x:v>3196</x:v>
      </x:c>
      <x:c r="N41" s="89" t="n">
        <x:v>0</x:v>
      </x:c>
      <x:c r="O41" s="89" t="n">
        <x:f>M41+N41</x:f>
        <x:v>3196</x:v>
      </x:c>
      <x:c r="P41" s="88" t="str">
        <x:f>IF(O41&lt;5000,"是","否")</x:f>
        <x:v>是</x:v>
      </x:c>
      <x:c r="Q41" s="90" t="str">
        <x:v>国内经济舱通常含20kg；出票前须按实际票价等级复核</x:v>
      </x:c>
      <x:c r="R41" s="90" t="str">
        <x:v>该去程对应的最低可订返程组合；具体返程航班需打开来源链接确认</x:v>
      </x:c>
      <x:c r="S41" s="91" t="n">
        <x:v>46267.74517780093</x:v>
      </x:c>
      <x:c r="T41" s="92" t="str">
        <x:v>https://www.google.com/travel/flights?hl=zh-CN&amp;curr=CNY&amp;q=Flights%20from%20Shanghai%20to%20Kunming%20from%202026-10-03%20to%202026-10-09</x:v>
      </x:c>
      <x:c r="U41" s="136" t="n">
        <x:v>46304</x:v>
      </x:c>
      <x:c r="V41" s="90" t="str">
        <x:v>06:30</x:v>
      </x:c>
      <x:c r="W41" s="90" t="str">
        <x:v>昆明长水国际机场</x:v>
      </x:c>
      <x:c r="X41" s="137" t="n">
        <x:v>46304</x:v>
      </x:c>
      <x:c r="Y41" s="90" t="str">
        <x:v>13:35</x:v>
      </x:c>
      <x:c r="Z41" s="90" t="str">
        <x:v>上海虹桥国际机场</x:v>
      </x:c>
      <x:c r="AA41" s="90" t="str">
        <x:v>川航和吉祥航空</x:v>
      </x:c>
      <x:c r="AB41" s="90" t="n">
        <x:v>1</x:v>
      </x:c>
      <x:c r="AC41" s="90" t="str">
        <x:v>7 小时 5 分钟</x:v>
      </x:c>
      <x:c r="AD41" s="138"/>
      <x:c r="AE41" s="90" t="str">
        <x:v>当前返程列表无价格，采用排序第一条</x:v>
      </x:c>
      <x:c r="AF41" s="92" t="str">
        <x:v>https://www.google.com/travel/flights/search?tfs=CBwQAhpLEgoyMDI2LTEwLTAzIiAKA1NIQRIKMjAyNi0xMC0wMxoDS01HKgJITzIEMTEyMWoMCAISCC9tLzA2d2pmcg0IAhIJL20vMDFjMDZkGikSCjIwMjYtMTAtMDlqDQgCEgkvbS8wMWMwNmRyDAgCEggvbS8wNndqZkABSAFwAYIBCwj___________8BmAEB&amp;tfu=CmxDalJJYnpSMU9IcEhkWFk1WVc5QlJuVXlUMUZDUnkwdExTMHRMUzB0TFhObFlteG9OMEZCUVVGQlIzRlpRM2hyUWkxUlFrZEJFZ1pJVHpFeE1qRWFDZ2l6RnhBQUdnTkRUbGs0SEhDVDNBST0SAggAIgMKATA&amp;hl=zh-CN&amp;curr=CNY</x:v>
      </x:c>
    </x:row>
    <x:row r="42" ht="42" customHeight="1">
      <x:c r="A42" s="85" t="n">
        <x:f>ROW()-7</x:f>
        <x:v>35</x:v>
      </x:c>
      <x:c r="B42" s="86" t="n">
        <x:v>46298</x:v>
      </x:c>
      <x:c r="C42" s="86" t="n">
        <x:v>46304</x:v>
      </x:c>
      <x:c r="D42" s="87" t="n">
        <x:v>6</x:v>
      </x:c>
      <x:c r="E42" s="88" t="str">
        <x:v>深航</x:v>
      </x:c>
      <x:c r="F42" s="88" t="str">
        <x:v>12:00</x:v>
      </x:c>
      <x:c r="G42" s="88" t="str">
        <x:v>00:55 +1</x:v>
      </x:c>
      <x:c r="H42" s="88" t="str">
        <x:v>上海浦东国际机场</x:v>
      </x:c>
      <x:c r="I42" s="88" t="str">
        <x:v>昆明长水国际机场</x:v>
      </x:c>
      <x:c r="J42" s="88" t="n">
        <x:v>1</x:v>
      </x:c>
      <x:c r="K42" s="88" t="str">
        <x:v>深圳市的深圳宝安国际机场 / 7 小时 55 分钟</x:v>
      </x:c>
      <x:c r="L42" s="88" t="str">
        <x:v>12 小时 55 分钟</x:v>
      </x:c>
      <x:c r="M42" s="89" t="n">
        <x:v>3210</x:v>
      </x:c>
      <x:c r="N42" s="89" t="n">
        <x:v>0</x:v>
      </x:c>
      <x:c r="O42" s="89" t="n">
        <x:f>M42+N42</x:f>
        <x:v>3210</x:v>
      </x:c>
      <x:c r="P42" s="88" t="str">
        <x:f>IF(O42&lt;5000,"是","否")</x:f>
        <x:v>是</x:v>
      </x:c>
      <x:c r="Q42" s="90" t="str">
        <x:v>国内经济舱通常含20kg；出票前须按实际票价等级复核</x:v>
      </x:c>
      <x:c r="R42" s="90" t="str">
        <x:v>该去程对应的最低可订返程组合；具体返程航班需打开来源链接确认</x:v>
      </x:c>
      <x:c r="S42" s="91" t="n">
        <x:v>46267.74517780093</x:v>
      </x:c>
      <x:c r="T42" s="92" t="str">
        <x:v>https://www.google.com/travel/flights?hl=zh-CN&amp;curr=CNY&amp;q=Flights%20from%20Shanghai%20to%20Kunming%20from%202026-10-03%20to%202026-10-09</x:v>
      </x:c>
      <x:c r="U42" s="136" t="n">
        <x:v>46304</x:v>
      </x:c>
      <x:c r="V42" s="90" t="str">
        <x:v>17:05</x:v>
      </x:c>
      <x:c r="W42" s="90" t="str">
        <x:v>昆明长水国际机场</x:v>
      </x:c>
      <x:c r="X42" s="137" t="n">
        <x:v>46304</x:v>
      </x:c>
      <x:c r="Y42" s="90" t="str">
        <x:v>21:45</x:v>
      </x:c>
      <x:c r="Z42" s="90" t="str">
        <x:v>上海浦东国际机场</x:v>
      </x:c>
      <x:c r="AA42" s="90" t="str">
        <x:v>春航</x:v>
      </x:c>
      <x:c r="AB42" s="90" t="n">
        <x:v>0</x:v>
      </x:c>
      <x:c r="AC42" s="90" t="str">
        <x:v>4 小时 40 分钟</x:v>
      </x:c>
      <x:c r="AD42" s="138" t="n">
        <x:v>3210</x:v>
      </x:c>
      <x:c r="AE42" s="90" t="str">
        <x:v>匹配原始往返起价</x:v>
      </x:c>
      <x:c r="AF42" s="92" t="str">
        <x:v>https://www.google.com/travel/flights/search?tfs=CBwQAhptEgoyMDI2LTEwLTAzIiAKA1BWRxIKMjAyNi0xMC0wMxoDU1pYKgJaSDIEOTUxNCIgCgNTWlgSCjIwMjYtMTAtMDMaA0tNRyoCWkgyBDk0NTdqDAgCEggvbS8wNndqZnINCAISCS9tLzAxYzA2ZBopEgoyMDI2LTEwLTA5ag0IAhIJL20vMDFjMDZkcgwIAhIIL20vMDZ3amZAAUgBcAGCAQsI____________AZgBAQ&amp;tfu=CnRDalJJZEU5VWJEQndRbVpTWVhkQlIxcGhWa0ZDUnkwdExTMHRMUzB0YzJWaVozSXpNMEZCUVVGQlIzRlpRM2h2VDFWNk5UQkJFZzFhU0RrMU1UUjhXa2c1TkRVM0dnb0lpaGtRQUJvRFEwNVpPQnh3a3ZVQxIGCAAgAigBIgA&amp;hl=zh-CN&amp;curr=CNY</x:v>
      </x:c>
    </x:row>
    <x:row r="43" ht="42" customHeight="1">
      <x:c r="A43" s="85" t="n">
        <x:f>ROW()-7</x:f>
        <x:v>36</x:v>
      </x:c>
      <x:c r="B43" s="86" t="n">
        <x:v>46299</x:v>
      </x:c>
      <x:c r="C43" s="86" t="n">
        <x:v>46304</x:v>
      </x:c>
      <x:c r="D43" s="87" t="n">
        <x:v>5</x:v>
      </x:c>
      <x:c r="E43" s="88" t="str">
        <x:v>深航</x:v>
      </x:c>
      <x:c r="F43" s="88" t="str">
        <x:v>12:00</x:v>
      </x:c>
      <x:c r="G43" s="88" t="str">
        <x:v>00:55 +1</x:v>
      </x:c>
      <x:c r="H43" s="88" t="str">
        <x:v>上海浦东国际机场</x:v>
      </x:c>
      <x:c r="I43" s="88" t="str">
        <x:v>昆明长水国际机场</x:v>
      </x:c>
      <x:c r="J43" s="88" t="n">
        <x:v>1</x:v>
      </x:c>
      <x:c r="K43" s="88" t="str">
        <x:v>深圳市的深圳宝安国际机场 / 7 小时 55 分钟</x:v>
      </x:c>
      <x:c r="L43" s="88" t="str">
        <x:v>12 小时 55 分钟</x:v>
      </x:c>
      <x:c r="M43" s="89" t="n">
        <x:v>3210</x:v>
      </x:c>
      <x:c r="N43" s="89" t="n">
        <x:v>0</x:v>
      </x:c>
      <x:c r="O43" s="89" t="n">
        <x:f>M43+N43</x:f>
        <x:v>3210</x:v>
      </x:c>
      <x:c r="P43" s="88" t="str">
        <x:f>IF(O43&lt;5000,"是","否")</x:f>
        <x:v>是</x:v>
      </x:c>
      <x:c r="Q43" s="90" t="str">
        <x:v>国内经济舱通常含20kg；出票前须按实际票价等级复核</x:v>
      </x:c>
      <x:c r="R43" s="90" t="str">
        <x:v>该去程对应的最低可订返程组合；具体返程航班需打开来源链接确认</x:v>
      </x:c>
      <x:c r="S43" s="91" t="n">
        <x:v>46267.74517780093</x:v>
      </x:c>
      <x:c r="T43" s="92" t="str">
        <x:v>https://www.google.com/travel/flights?hl=zh-CN&amp;curr=CNY&amp;q=Flights%20from%20Shanghai%20to%20Kunming%20from%202026-10-04%20to%202026-10-09</x:v>
      </x:c>
      <x:c r="U43" s="136" t="n">
        <x:v>46304</x:v>
      </x:c>
      <x:c r="V43" s="90" t="str">
        <x:v>17:05</x:v>
      </x:c>
      <x:c r="W43" s="90" t="str">
        <x:v>昆明长水国际机场</x:v>
      </x:c>
      <x:c r="X43" s="137" t="n">
        <x:v>46304</x:v>
      </x:c>
      <x:c r="Y43" s="90" t="str">
        <x:v>21:45</x:v>
      </x:c>
      <x:c r="Z43" s="90" t="str">
        <x:v>上海浦东国际机场</x:v>
      </x:c>
      <x:c r="AA43" s="90" t="str">
        <x:v>春航</x:v>
      </x:c>
      <x:c r="AB43" s="90" t="n">
        <x:v>0</x:v>
      </x:c>
      <x:c r="AC43" s="90" t="str">
        <x:v>4 小时 40 分钟</x:v>
      </x:c>
      <x:c r="AD43" s="138" t="n">
        <x:v>3210</x:v>
      </x:c>
      <x:c r="AE43" s="90" t="str">
        <x:v>匹配原始往返起价</x:v>
      </x:c>
      <x:c r="AF43" s="92" t="str">
        <x:v>https://www.google.com/travel/flights/search?tfs=CBwQAhptEgoyMDI2LTEwLTA0IiAKA1BWRxIKMjAyNi0xMC0wNBoDU1pYKgJaSDIEOTUxNCIgCgNTWlgSCjIwMjYtMTAtMDQaA0tNRyoCWkgyBDk0NTdqDAgCEggvbS8wNndqZnINCAISCS9tLzAxYzA2ZBopEgoyMDI2LTEwLTA5ag0IAhIJL20vMDFjMDZkcgwIAhIIL20vMDZ3amZAAUgBcAGCAQsI____________AZgBAQ&amp;tfu=CnRDalJJTjI1cVh5MTFabXBWVjI5QlJXbHJia0ZDUnkwdExTMHRMWE5sZEc0eU5pMXVNVUZCUVVGQlIzRlpRM2h2U1ZkRGVHRkJFZzFhU0RrMU1UUjhXa2c1TkRVM0dnb0lpaGtRQUJvRFEwNVpPQnh3a3ZVQxIGCAAgAigBIgA&amp;hl=zh-CN&amp;curr=CNY</x:v>
      </x:c>
    </x:row>
    <x:row r="44" ht="42" customHeight="1">
      <x:c r="A44" s="85" t="n">
        <x:f>ROW()-7</x:f>
        <x:v>37</x:v>
      </x:c>
      <x:c r="B44" s="86" t="n">
        <x:v>46300</x:v>
      </x:c>
      <x:c r="C44" s="86" t="n">
        <x:v>46304</x:v>
      </x:c>
      <x:c r="D44" s="87" t="n">
        <x:v>4</x:v>
      </x:c>
      <x:c r="E44" s="88" t="str">
        <x:v>吉祥航空</x:v>
      </x:c>
      <x:c r="F44" s="88" t="str">
        <x:v>13:50</x:v>
      </x:c>
      <x:c r="G44" s="88" t="str">
        <x:v>17:25</x:v>
      </x:c>
      <x:c r="H44" s="88" t="str">
        <x:v>上海浦东国际机场</x:v>
      </x:c>
      <x:c r="I44" s="88" t="str">
        <x:v>昆明长水国际机场</x:v>
      </x:c>
      <x:c r="J44" s="88" t="n">
        <x:v>0</x:v>
      </x:c>
      <x:c r="K44" s="88" t="str">
        <x:v>—</x:v>
      </x:c>
      <x:c r="L44" s="88" t="str">
        <x:v>3 小时 35 分钟</x:v>
      </x:c>
      <x:c r="M44" s="89" t="n">
        <x:v>3272</x:v>
      </x:c>
      <x:c r="N44" s="89" t="n">
        <x:v>0</x:v>
      </x:c>
      <x:c r="O44" s="89" t="n">
        <x:f>M44+N44</x:f>
        <x:v>3272</x:v>
      </x:c>
      <x:c r="P44" s="88" t="str">
        <x:f>IF(O44&lt;5000,"是","否")</x:f>
        <x:v>是</x:v>
      </x:c>
      <x:c r="Q44" s="90" t="str">
        <x:v>国内经济舱通常含20kg；出票前须按实际票价等级复核</x:v>
      </x:c>
      <x:c r="R44" s="90" t="str">
        <x:v>该去程对应的最低可订返程组合；具体返程航班需打开来源链接确认</x:v>
      </x:c>
      <x:c r="S44" s="91" t="n">
        <x:v>46267.74517780093</x:v>
      </x:c>
      <x:c r="T44" s="92" t="str">
        <x:v>https://www.google.com/travel/flights?hl=zh-CN&amp;curr=CNY&amp;q=Flights%20from%20Shanghai%20to%20Kunming%20from%202026-10-05%20to%202026-10-09</x:v>
      </x:c>
      <x:c r="U44" s="136" t="n">
        <x:v>46304</x:v>
      </x:c>
      <x:c r="V44" s="90" t="str">
        <x:v>06:55</x:v>
      </x:c>
      <x:c r="W44" s="90" t="str">
        <x:v>昆明长水国际机场</x:v>
      </x:c>
      <x:c r="X44" s="137" t="n">
        <x:v>46304</x:v>
      </x:c>
      <x:c r="Y44" s="90" t="str">
        <x:v>09:50</x:v>
      </x:c>
      <x:c r="Z44" s="90" t="str">
        <x:v>上海浦东国际机场</x:v>
      </x:c>
      <x:c r="AA44" s="90" t="str">
        <x:v>东航</x:v>
      </x:c>
      <x:c r="AB44" s="90" t="n">
        <x:v>0</x:v>
      </x:c>
      <x:c r="AC44" s="90" t="str">
        <x:v>2 小时 55 分钟</x:v>
      </x:c>
      <x:c r="AD44" s="138"/>
      <x:c r="AE44" s="90" t="str">
        <x:v>当前返程列表无价格，采用排序第一条</x:v>
      </x:c>
      <x:c r="AF44" s="92" t="str">
        <x:v>https://www.google.com/travel/flights/search?tfs=CBwQAhpLEgoyMDI2LTEwLTA1IiAKA1BWRxIKMjAyNi0xMC0wNRoDS01HKgJNVTIENTg0MGoMCAISCC9tLzA2d2pmcg0IAhIJL20vMDFjMDZkGikSCjIwMjYtMTAtMDlqDQgCEgkvbS8wMWMwNmRyDAgCEggvbS8wNndqZkABSAFwAYIBCwj___________8BmAEB&amp;tfu=ClhDalJJYlhCeE56bGlkak5LY1dkQlJEbFhTWGRDUnkwdExTMHRMUzF6YlhWNE9DMXVNa0ZCUVVGQlIzRlpSVXN3U1ZwWFNYZEJFZ1pOVlRVNE5EQTRIUT09EgIIACIA&amp;hl=zh-CN&amp;curr=CNY</x:v>
      </x:c>
    </x:row>
    <x:row r="45" ht="42" customHeight="1">
      <x:c r="A45" s="85" t="n">
        <x:f>ROW()-7</x:f>
        <x:v>38</x:v>
      </x:c>
      <x:c r="B45" s="86" t="n">
        <x:v>46298</x:v>
      </x:c>
      <x:c r="C45" s="86" t="n">
        <x:v>46304</x:v>
      </x:c>
      <x:c r="D45" s="87" t="n">
        <x:v>6</x:v>
      </x:c>
      <x:c r="E45" s="88" t="str">
        <x:v>南航</x:v>
      </x:c>
      <x:c r="F45" s="88" t="str">
        <x:v>07:40</x:v>
      </x:c>
      <x:c r="G45" s="88" t="str">
        <x:v>11:10</x:v>
      </x:c>
      <x:c r="H45" s="88" t="str">
        <x:v>上海浦东国际机场</x:v>
      </x:c>
      <x:c r="I45" s="88" t="str">
        <x:v>昆明长水国际机场</x:v>
      </x:c>
      <x:c r="J45" s="88" t="n">
        <x:v>0</x:v>
      </x:c>
      <x:c r="K45" s="88" t="str">
        <x:v>—</x:v>
      </x:c>
      <x:c r="L45" s="88" t="str">
        <x:v>3 小时 30 分钟</x:v>
      </x:c>
      <x:c r="M45" s="89" t="n">
        <x:v>3310</x:v>
      </x:c>
      <x:c r="N45" s="89" t="n">
        <x:v>0</x:v>
      </x:c>
      <x:c r="O45" s="89" t="n">
        <x:f>M45+N45</x:f>
        <x:v>3310</x:v>
      </x:c>
      <x:c r="P45" s="88" t="str">
        <x:f>IF(O45&lt;5000,"是","否")</x:f>
        <x:v>是</x:v>
      </x:c>
      <x:c r="Q45" s="90" t="str">
        <x:v>国内经济舱通常含20kg；出票前须按实际票价等级复核</x:v>
      </x:c>
      <x:c r="R45" s="90" t="str">
        <x:v>该去程对应的最低可订返程组合；具体返程航班需打开来源链接确认</x:v>
      </x:c>
      <x:c r="S45" s="91" t="n">
        <x:v>46267.74517780093</x:v>
      </x:c>
      <x:c r="T45" s="92" t="str">
        <x:v>https://www.google.com/travel/flights?hl=zh-CN&amp;curr=CNY&amp;q=Flights%20from%20Shanghai%20to%20Kunming%20from%202026-10-03%20to%202026-10-09</x:v>
      </x:c>
      <x:c r="U45" s="136" t="n">
        <x:v>46304</x:v>
      </x:c>
      <x:c r="V45" s="90" t="str">
        <x:v>17:05</x:v>
      </x:c>
      <x:c r="W45" s="90" t="str">
        <x:v>昆明长水国际机场</x:v>
      </x:c>
      <x:c r="X45" s="137" t="n">
        <x:v>46304</x:v>
      </x:c>
      <x:c r="Y45" s="90" t="str">
        <x:v>21:45</x:v>
      </x:c>
      <x:c r="Z45" s="90" t="str">
        <x:v>上海浦东国际机场</x:v>
      </x:c>
      <x:c r="AA45" s="90" t="str">
        <x:v>春航</x:v>
      </x:c>
      <x:c r="AB45" s="90" t="n">
        <x:v>0</x:v>
      </x:c>
      <x:c r="AC45" s="90" t="str">
        <x:v>4 小时 40 分钟</x:v>
      </x:c>
      <x:c r="AD45" s="138" t="n">
        <x:v>3310</x:v>
      </x:c>
      <x:c r="AE45" s="90" t="str">
        <x:v>匹配原始往返起价</x:v>
      </x:c>
      <x:c r="AF45" s="92" t="str">
        <x:v>https://www.google.com/travel/flights/search?tfs=CBwQAhpLEgoyMDI2LTEwLTAzIiAKA1BWRxIKMjAyNi0xMC0wMxoDS01HKgJDWjIEMzY3N2oMCAISCC9tLzA2d2pmcg0IAhIJL20vMDFjMDZkGikSCjIwMjYtMTAtMDlqDQgCEgkvbS8wMWMwNmRyDAgCEggvbS8wNndqZkABSAFwAYIBCwj___________8BmAEB&amp;tfu=CmxDalJJV0Raek9XaExUWEpYVGtsQlJXdFRVR2RDUnkwdExTMHRMUzF6WlhSdE9DMXVNVUZCUVVGQlIzRlpRM2xWU21WUU4xVkJFZ1pEV2pNMk56Y2FDZ2p1R1JBQUdnTkRUbGs0SEhEaWdBTT0SAggAIgA&amp;hl=zh-CN&amp;curr=CNY</x:v>
      </x:c>
    </x:row>
    <x:row r="46" ht="42" customHeight="1">
      <x:c r="A46" s="85" t="n">
        <x:f>ROW()-7</x:f>
        <x:v>39</x:v>
      </x:c>
      <x:c r="B46" s="86" t="n">
        <x:v>46298</x:v>
      </x:c>
      <x:c r="C46" s="86" t="n">
        <x:v>46304</x:v>
      </x:c>
      <x:c r="D46" s="87" t="n">
        <x:v>6</x:v>
      </x:c>
      <x:c r="E46" s="88" t="str">
        <x:v>南航</x:v>
      </x:c>
      <x:c r="F46" s="88" t="str">
        <x:v>14:50</x:v>
      </x:c>
      <x:c r="G46" s="88" t="str">
        <x:v>18:20</x:v>
      </x:c>
      <x:c r="H46" s="88" t="str">
        <x:v>上海浦东国际机场</x:v>
      </x:c>
      <x:c r="I46" s="88" t="str">
        <x:v>昆明长水国际机场</x:v>
      </x:c>
      <x:c r="J46" s="88" t="n">
        <x:v>0</x:v>
      </x:c>
      <x:c r="K46" s="88" t="str">
        <x:v>—</x:v>
      </x:c>
      <x:c r="L46" s="88" t="str">
        <x:v>3 小时 30 分钟</x:v>
      </x:c>
      <x:c r="M46" s="89" t="n">
        <x:v>3310</x:v>
      </x:c>
      <x:c r="N46" s="89" t="n">
        <x:v>0</x:v>
      </x:c>
      <x:c r="O46" s="89" t="n">
        <x:f>M46+N46</x:f>
        <x:v>3310</x:v>
      </x:c>
      <x:c r="P46" s="88" t="str">
        <x:f>IF(O46&lt;5000,"是","否")</x:f>
        <x:v>是</x:v>
      </x:c>
      <x:c r="Q46" s="90" t="str">
        <x:v>国内经济舱通常含20kg；出票前须按实际票价等级复核</x:v>
      </x:c>
      <x:c r="R46" s="90" t="str">
        <x:v>该去程对应的最低可订返程组合；具体返程航班需打开来源链接确认</x:v>
      </x:c>
      <x:c r="S46" s="91" t="n">
        <x:v>46267.74517780093</x:v>
      </x:c>
      <x:c r="T46" s="92" t="str">
        <x:v>https://www.google.com/travel/flights?hl=zh-CN&amp;curr=CNY&amp;q=Flights%20from%20Shanghai%20to%20Kunming%20from%202026-10-03%20to%202026-10-09</x:v>
      </x:c>
      <x:c r="U46" s="136" t="n">
        <x:v>46304</x:v>
      </x:c>
      <x:c r="V46" s="90" t="str">
        <x:v>17:05</x:v>
      </x:c>
      <x:c r="W46" s="90" t="str">
        <x:v>昆明长水国际机场</x:v>
      </x:c>
      <x:c r="X46" s="137" t="n">
        <x:v>46304</x:v>
      </x:c>
      <x:c r="Y46" s="90" t="str">
        <x:v>21:45</x:v>
      </x:c>
      <x:c r="Z46" s="90" t="str">
        <x:v>上海浦东国际机场</x:v>
      </x:c>
      <x:c r="AA46" s="90" t="str">
        <x:v>春航</x:v>
      </x:c>
      <x:c r="AB46" s="90" t="n">
        <x:v>0</x:v>
      </x:c>
      <x:c r="AC46" s="90" t="str">
        <x:v>4 小时 40 分钟</x:v>
      </x:c>
      <x:c r="AD46" s="138" t="n">
        <x:v>3310</x:v>
      </x:c>
      <x:c r="AE46" s="90" t="str">
        <x:v>匹配原始往返起价</x:v>
      </x:c>
      <x:c r="AF46" s="92" t="str">
        <x:v>https://www.google.com/travel/flights/search?tfs=CBwQAhpLEgoyMDI2LTEwLTAzIiAKA1BWRxIKMjAyNi0xMC0wMxoDS01HKgJDWjIEODc1NWoMCAISCC9tLzA2d2pmcg0IAhIJL20vMDFjMDZkGikSCjIwMjYtMTAtMDlqDQgCEgkvbS8wMWMwNmRyDAgCEggvbS8wNndqZkABSAFwAYIBCwj___________8BmAEB&amp;tfu=CmxDalJJYjBKcmNXbDVMVVZwVWtGQlJIUlBRV2RDUnkwdExTMHRMUzB0TFhOdGNHUXlNVUZCUVVGQlIzRlpRM2xWVFVSbVNEQkJFZ1pEV2pnM05UVWFDZ2p1R1JBQUdnTkRUbGs0SEhEaWdBTT0SAggAIgA&amp;hl=zh-CN&amp;curr=CNY</x:v>
      </x:c>
    </x:row>
    <x:row r="47" ht="42" customHeight="1">
      <x:c r="A47" s="85" t="n">
        <x:f>ROW()-7</x:f>
        <x:v>40</x:v>
      </x:c>
      <x:c r="B47" s="86" t="n">
        <x:v>46299</x:v>
      </x:c>
      <x:c r="C47" s="86" t="n">
        <x:v>46304</x:v>
      </x:c>
      <x:c r="D47" s="87" t="n">
        <x:v>5</x:v>
      </x:c>
      <x:c r="E47" s="88" t="str">
        <x:v>南航</x:v>
      </x:c>
      <x:c r="F47" s="88" t="str">
        <x:v>07:40</x:v>
      </x:c>
      <x:c r="G47" s="88" t="str">
        <x:v>11:10</x:v>
      </x:c>
      <x:c r="H47" s="88" t="str">
        <x:v>上海浦东国际机场</x:v>
      </x:c>
      <x:c r="I47" s="88" t="str">
        <x:v>昆明长水国际机场</x:v>
      </x:c>
      <x:c r="J47" s="88" t="n">
        <x:v>0</x:v>
      </x:c>
      <x:c r="K47" s="88" t="str">
        <x:v>—</x:v>
      </x:c>
      <x:c r="L47" s="88" t="str">
        <x:v>3 小时 30 分钟</x:v>
      </x:c>
      <x:c r="M47" s="89" t="n">
        <x:v>3310</x:v>
      </x:c>
      <x:c r="N47" s="89" t="n">
        <x:v>0</x:v>
      </x:c>
      <x:c r="O47" s="89" t="n">
        <x:f>M47+N47</x:f>
        <x:v>3310</x:v>
      </x:c>
      <x:c r="P47" s="88" t="str">
        <x:f>IF(O47&lt;5000,"是","否")</x:f>
        <x:v>是</x:v>
      </x:c>
      <x:c r="Q47" s="90" t="str">
        <x:v>国内经济舱通常含20kg；出票前须按实际票价等级复核</x:v>
      </x:c>
      <x:c r="R47" s="90" t="str">
        <x:v>该去程对应的最低可订返程组合；具体返程航班需打开来源链接确认</x:v>
      </x:c>
      <x:c r="S47" s="91" t="n">
        <x:v>46267.74517780093</x:v>
      </x:c>
      <x:c r="T47" s="92" t="str">
        <x:v>https://www.google.com/travel/flights?hl=zh-CN&amp;curr=CNY&amp;q=Flights%20from%20Shanghai%20to%20Kunming%20from%202026-10-04%20to%202026-10-09</x:v>
      </x:c>
      <x:c r="U47" s="136" t="n">
        <x:v>46304</x:v>
      </x:c>
      <x:c r="V47" s="90" t="str">
        <x:v>17:05</x:v>
      </x:c>
      <x:c r="W47" s="90" t="str">
        <x:v>昆明长水国际机场</x:v>
      </x:c>
      <x:c r="X47" s="137" t="n">
        <x:v>46304</x:v>
      </x:c>
      <x:c r="Y47" s="90" t="str">
        <x:v>21:45</x:v>
      </x:c>
      <x:c r="Z47" s="90" t="str">
        <x:v>上海浦东国际机场</x:v>
      </x:c>
      <x:c r="AA47" s="90" t="str">
        <x:v>春航</x:v>
      </x:c>
      <x:c r="AB47" s="90" t="n">
        <x:v>0</x:v>
      </x:c>
      <x:c r="AC47" s="90" t="str">
        <x:v>4 小时 40 分钟</x:v>
      </x:c>
      <x:c r="AD47" s="138" t="n">
        <x:v>3310</x:v>
      </x:c>
      <x:c r="AE47" s="90" t="str">
        <x:v>匹配原始往返起价</x:v>
      </x:c>
      <x:c r="AF47" s="92" t="str">
        <x:v>https://www.google.com/travel/flights/search?tfs=CBwQAhpLEgoyMDI2LTEwLTA0IiAKA1BWRxIKMjAyNi0xMC0wNBoDS01HKgJDWjIEMzY3N2oMCAISCC9tLzA2d2pmcg0IAhIJL20vMDFjMDZkGikSCjIwMjYtMTAtMDlqDQgCEgkvbS8wMWMwNmRyDAgCEggvbS8wNndqZkABSAFwAYIBCwj___________8BmAEB&amp;tfu=CmxDalJJV25VMlpHdHJNMVpPY1ZsQlJEaHRSVkZDUnkwdExTMHRMUzF6YlhWa015MXVNa0ZCUVVGQlIzRlpRM2xWUzBFNFoyZEJFZ1pEV2pNMk56Y2FDZ2p1R1JBQUdnTkRUbGs0SEhEaWdBTT0SAggAIgMSATA&amp;hl=zh-CN&amp;curr=CNY</x:v>
      </x:c>
    </x:row>
    <x:row r="48" ht="42" customHeight="1">
      <x:c r="A48" s="85" t="n">
        <x:f>ROW()-7</x:f>
        <x:v>41</x:v>
      </x:c>
      <x:c r="B48" s="86" t="n">
        <x:v>46299</x:v>
      </x:c>
      <x:c r="C48" s="86" t="n">
        <x:v>46304</x:v>
      </x:c>
      <x:c r="D48" s="87" t="n">
        <x:v>5</x:v>
      </x:c>
      <x:c r="E48" s="88" t="str">
        <x:v>南航</x:v>
      </x:c>
      <x:c r="F48" s="88" t="str">
        <x:v>14:50</x:v>
      </x:c>
      <x:c r="G48" s="88" t="str">
        <x:v>18:20</x:v>
      </x:c>
      <x:c r="H48" s="88" t="str">
        <x:v>上海浦东国际机场</x:v>
      </x:c>
      <x:c r="I48" s="88" t="str">
        <x:v>昆明长水国际机场</x:v>
      </x:c>
      <x:c r="J48" s="88" t="n">
        <x:v>0</x:v>
      </x:c>
      <x:c r="K48" s="88" t="str">
        <x:v>—</x:v>
      </x:c>
      <x:c r="L48" s="88" t="str">
        <x:v>3 小时 30 分钟</x:v>
      </x:c>
      <x:c r="M48" s="89" t="n">
        <x:v>3310</x:v>
      </x:c>
      <x:c r="N48" s="89" t="n">
        <x:v>0</x:v>
      </x:c>
      <x:c r="O48" s="89" t="n">
        <x:f>M48+N48</x:f>
        <x:v>3310</x:v>
      </x:c>
      <x:c r="P48" s="88" t="str">
        <x:f>IF(O48&lt;5000,"是","否")</x:f>
        <x:v>是</x:v>
      </x:c>
      <x:c r="Q48" s="90" t="str">
        <x:v>国内经济舱通常含20kg；出票前须按实际票价等级复核</x:v>
      </x:c>
      <x:c r="R48" s="90" t="str">
        <x:v>该去程对应的最低可订返程组合；具体返程航班需打开来源链接确认</x:v>
      </x:c>
      <x:c r="S48" s="91" t="n">
        <x:v>46267.74517780093</x:v>
      </x:c>
      <x:c r="T48" s="92" t="str">
        <x:v>https://www.google.com/travel/flights?hl=zh-CN&amp;curr=CNY&amp;q=Flights%20from%20Shanghai%20to%20Kunming%20from%202026-10-04%20to%202026-10-09</x:v>
      </x:c>
      <x:c r="U48" s="136" t="n">
        <x:v>46304</x:v>
      </x:c>
      <x:c r="V48" s="90" t="str">
        <x:v>17:05</x:v>
      </x:c>
      <x:c r="W48" s="90" t="str">
        <x:v>昆明长水国际机场</x:v>
      </x:c>
      <x:c r="X48" s="137" t="n">
        <x:v>46304</x:v>
      </x:c>
      <x:c r="Y48" s="90" t="str">
        <x:v>21:45</x:v>
      </x:c>
      <x:c r="Z48" s="90" t="str">
        <x:v>上海浦东国际机场</x:v>
      </x:c>
      <x:c r="AA48" s="90" t="str">
        <x:v>春航</x:v>
      </x:c>
      <x:c r="AB48" s="90" t="n">
        <x:v>0</x:v>
      </x:c>
      <x:c r="AC48" s="90" t="str">
        <x:v>4 小时 40 分钟</x:v>
      </x:c>
      <x:c r="AD48" s="138" t="n">
        <x:v>3310</x:v>
      </x:c>
      <x:c r="AE48" s="90" t="str">
        <x:v>匹配原始往返起价</x:v>
      </x:c>
      <x:c r="AF48" s="92" t="str">
        <x:v>https://www.google.com/travel/flights/search?tfs=CBwQAhpLEgoyMDI2LTEwLTA0IiAKA1BWRxIKMjAyNi0xMC0wNBoDS01HKgJDWjIEODc1NWoMCAISCC9tLzA2d2pmcg0IAhIJL20vMDFjMDZkGikSCjIwMjYtMTAtMDlqDQgCEgkvbS8wMWMwNmRyDAgCEggvbS8wNndqZkABSAFwAYIBCwj___________8BmAEB&amp;tfu=CmxDalJJYnpSMU9IcEhkWFk1WVc5QlJuWkJRMEZDUnkwdExTMHRMUzB0TFhObFlteG9OMEZCUVVGQlIzRlpRM2t3VDA1YVlXOUJFZ1pEV2pnM05UVWFDZ2p1R1JBQUdnTkRUbGs0SEhEaWdBTT0SAggAIgA&amp;hl=zh-CN&amp;curr=CNY</x:v>
      </x:c>
    </x:row>
    <x:row r="49" ht="42" customHeight="1">
      <x:c r="A49" s="85" t="n">
        <x:f>ROW()-7</x:f>
        <x:v>42</x:v>
      </x:c>
      <x:c r="B49" s="86" t="n">
        <x:v>46296</x:v>
      </x:c>
      <x:c r="C49" s="86" t="n">
        <x:v>46300</x:v>
      </x:c>
      <x:c r="D49" s="87" t="n">
        <x:v>4</x:v>
      </x:c>
      <x:c r="E49" s="88" t="str">
        <x:v>昆航</x:v>
      </x:c>
      <x:c r="F49" s="88" t="str">
        <x:v>17:35</x:v>
      </x:c>
      <x:c r="G49" s="88" t="str">
        <x:v>20:50</x:v>
      </x:c>
      <x:c r="H49" s="88" t="str">
        <x:v>上海浦东国际机场</x:v>
      </x:c>
      <x:c r="I49" s="88" t="str">
        <x:v>昆明长水国际机场</x:v>
      </x:c>
      <x:c r="J49" s="88" t="n">
        <x:v>0</x:v>
      </x:c>
      <x:c r="K49" s="88" t="str">
        <x:v>—</x:v>
      </x:c>
      <x:c r="L49" s="88" t="str">
        <x:v>3 小时 15 分钟</x:v>
      </x:c>
      <x:c r="M49" s="89" t="n">
        <x:v>3336</x:v>
      </x:c>
      <x:c r="N49" s="89" t="n">
        <x:v>0</x:v>
      </x:c>
      <x:c r="O49" s="89" t="n">
        <x:f>M49+N49</x:f>
        <x:v>3336</x:v>
      </x:c>
      <x:c r="P49" s="88" t="str">
        <x:f>IF(O49&lt;5000,"是","否")</x:f>
        <x:v>是</x:v>
      </x:c>
      <x:c r="Q49" s="90" t="str">
        <x:v>国内经济舱通常含20kg；出票前须按实际票价等级复核</x:v>
      </x:c>
      <x:c r="R49" s="90" t="str">
        <x:v>该去程对应的最低可订返程组合；具体返程航班需打开来源链接确认</x:v>
      </x:c>
      <x:c r="S49" s="91" t="n">
        <x:v>46267.74517780093</x:v>
      </x:c>
      <x:c r="T49" s="92" t="str">
        <x:v>https://www.google.com/travel/flights?hl=zh-CN&amp;curr=CNY&amp;q=Flights%20from%20Shanghai%20to%20Kunming%20from%202026-10-01%20to%202026-10-05</x:v>
      </x:c>
      <x:c r="U49" s="136" t="n">
        <x:v>46300</x:v>
      </x:c>
      <x:c r="V49" s="90" t="str">
        <x:v>08:40</x:v>
      </x:c>
      <x:c r="W49" s="90" t="str">
        <x:v>昆明长水国际机场</x:v>
      </x:c>
      <x:c r="X49" s="137" t="n">
        <x:v>46300</x:v>
      </x:c>
      <x:c r="Y49" s="90" t="str">
        <x:v>12:00</x:v>
      </x:c>
      <x:c r="Z49" s="90" t="str">
        <x:v>上海浦东国际机场</x:v>
      </x:c>
      <x:c r="AA49" s="90" t="str">
        <x:v>昆航</x:v>
      </x:c>
      <x:c r="AB49" s="90" t="n">
        <x:v>0</x:v>
      </x:c>
      <x:c r="AC49" s="90" t="str">
        <x:v>3 小时 20 分钟</x:v>
      </x:c>
      <x:c r="AD49" s="138"/>
      <x:c r="AE49" s="90" t="str">
        <x:v>当前返程列表无价格，采用排序第一条</x:v>
      </x:c>
      <x:c r="AF49" s="92" t="str">
        <x:v>https://www.google.com/travel/flights/search?tfs=CBwQAhpLEgoyMDI2LTEwLTAxIiAKA1BWRxIKMjAyNi0xMC0wMRoDS01HKgJLWTIEODIxOGoMCAISCC9tLzA2d2pmcg0IAhIJL20vMDFjMDZkGikSCjIwMjYtMTAtMDVqDQgCEgkvbS8wMWMwNmRyDAgCEggvbS8wNndqZkABSAFwAYIBCwj___________8BmAEB&amp;tfu=CmxDalJJVTFCd2FUaFNTbWhxVTBsQlJWVktSWGRDUnkwdExTMHRMUzB0YzIxck1TMXVNVUZCUVVGQlIzRlpRM2swUm0xTVZuZEJFZ1pMV1RneU1UZ2FDZ2l2SEJBQUdnTkRUbGs0SEhDS3BnTT0SAggAIgA&amp;hl=zh-CN&amp;curr=CNY</x:v>
      </x:c>
    </x:row>
    <x:row r="50" ht="42" customHeight="1">
      <x:c r="A50" s="85" t="n">
        <x:f>ROW()-7</x:f>
        <x:v>43</x:v>
      </x:c>
      <x:c r="B50" s="86" t="n">
        <x:v>46296</x:v>
      </x:c>
      <x:c r="C50" s="86" t="n">
        <x:v>46300</x:v>
      </x:c>
      <x:c r="D50" s="87" t="n">
        <x:v>4</x:v>
      </x:c>
      <x:c r="E50" s="88" t="str">
        <x:v>吉祥航空</x:v>
      </x:c>
      <x:c r="F50" s="88" t="str">
        <x:v>20:25</x:v>
      </x:c>
      <x:c r="G50" s="88" t="str">
        <x:v>23:45</x:v>
      </x:c>
      <x:c r="H50" s="88" t="str">
        <x:v>上海浦东国际机场</x:v>
      </x:c>
      <x:c r="I50" s="88" t="str">
        <x:v>昆明长水国际机场</x:v>
      </x:c>
      <x:c r="J50" s="88" t="n">
        <x:v>0</x:v>
      </x:c>
      <x:c r="K50" s="88" t="str">
        <x:v>—</x:v>
      </x:c>
      <x:c r="L50" s="88" t="str">
        <x:v>3 小时 20 分钟</x:v>
      </x:c>
      <x:c r="M50" s="89" t="n">
        <x:v>3382</x:v>
      </x:c>
      <x:c r="N50" s="89" t="n">
        <x:v>0</x:v>
      </x:c>
      <x:c r="O50" s="89" t="n">
        <x:f>M50+N50</x:f>
        <x:v>3382</x:v>
      </x:c>
      <x:c r="P50" s="88" t="str">
        <x:f>IF(O50&lt;5000,"是","否")</x:f>
        <x:v>是</x:v>
      </x:c>
      <x:c r="Q50" s="90" t="str">
        <x:v>国内经济舱通常含20kg；出票前须按实际票价等级复核</x:v>
      </x:c>
      <x:c r="R50" s="90" t="str">
        <x:v>该去程对应的最低可订返程组合；具体返程航班需打开来源链接确认</x:v>
      </x:c>
      <x:c r="S50" s="91" t="n">
        <x:v>46267.74517780093</x:v>
      </x:c>
      <x:c r="T50" s="92" t="str">
        <x:v>https://www.google.com/travel/flights?hl=zh-CN&amp;curr=CNY&amp;q=Flights%20from%20Shanghai%20to%20Kunming%20from%202026-10-01%20to%202026-10-05</x:v>
      </x:c>
      <x:c r="U50" s="136" t="n">
        <x:v>46300</x:v>
      </x:c>
      <x:c r="V50" s="90" t="str">
        <x:v>07:10</x:v>
      </x:c>
      <x:c r="W50" s="90" t="str">
        <x:v>昆明长水国际机场</x:v>
      </x:c>
      <x:c r="X50" s="137" t="n">
        <x:v>46300</x:v>
      </x:c>
      <x:c r="Y50" s="90" t="str">
        <x:v>10:20</x:v>
      </x:c>
      <x:c r="Z50" s="90" t="str">
        <x:v>上海浦东国际机场</x:v>
      </x:c>
      <x:c r="AA50" s="90" t="str">
        <x:v>吉祥航空</x:v>
      </x:c>
      <x:c r="AB50" s="90" t="n">
        <x:v>0</x:v>
      </x:c>
      <x:c r="AC50" s="90" t="str">
        <x:v>3 小时 10 分钟</x:v>
      </x:c>
      <x:c r="AD50" s="138"/>
      <x:c r="AE50" s="90" t="str">
        <x:v>当前返程列表无价格，采用排序第一条</x:v>
      </x:c>
      <x:c r="AF50" s="92" t="str">
        <x:v>https://www.google.com/travel/flights/search?tfs=CBwQAhpLEgoyMDI2LTEwLTAxIiAKA1BWRxIKMjAyNi0xMC0wMRoDS01HKgJITzIEMTAxN2oMCAISCC9tLzA2d2pmcg0IAhIJL20vMDFjMDZkGikSCjIwMjYtMTAtMDVqDQgCEgkvbS8wMWMwNmRyDAgCEggvbS8wNndqZkABSAFwAYIBCwj___________8BmAEB&amp;tfu=CmxDalJJVEVWeVNtOXViVTh0ZVZGQlJXMDJjMmRDUnkwdExTMHRMUzB0TFMxelpXTmpPVUZCUVVGQlIzRlpRM2t3VFZGVGJFbEJFZ1pJVHpFd01UY2FDZ2kxR2hBQUdnTkRUbGs0SEhDQ2lRTT0SAggAIgA&amp;hl=zh-CN&amp;curr=CNY</x:v>
      </x:c>
    </x:row>
    <x:row r="51" ht="42" customHeight="1">
      <x:c r="A51" s="85" t="n">
        <x:f>ROW()-7</x:f>
        <x:v>44</x:v>
      </x:c>
      <x:c r="B51" s="86" t="n">
        <x:v>46297</x:v>
      </x:c>
      <x:c r="C51" s="86" t="n">
        <x:v>46303</x:v>
      </x:c>
      <x:c r="D51" s="87" t="n">
        <x:v>6</x:v>
      </x:c>
      <x:c r="E51" s="88" t="str">
        <x:v>东航</x:v>
      </x:c>
      <x:c r="F51" s="88" t="str">
        <x:v>15:30</x:v>
      </x:c>
      <x:c r="G51" s="88" t="str">
        <x:v>18:45</x:v>
      </x:c>
      <x:c r="H51" s="88" t="str">
        <x:v>上海虹桥国际机场</x:v>
      </x:c>
      <x:c r="I51" s="88" t="str">
        <x:v>昆明长水国际机场</x:v>
      </x:c>
      <x:c r="J51" s="88" t="n">
        <x:v>0</x:v>
      </x:c>
      <x:c r="K51" s="88" t="str">
        <x:v>—</x:v>
      </x:c>
      <x:c r="L51" s="88" t="str">
        <x:v>3 小时 15 分钟</x:v>
      </x:c>
      <x:c r="M51" s="89" t="n">
        <x:v>3414</x:v>
      </x:c>
      <x:c r="N51" s="89" t="n">
        <x:v>0</x:v>
      </x:c>
      <x:c r="O51" s="89" t="n">
        <x:f>M51+N51</x:f>
        <x:v>3414</x:v>
      </x:c>
      <x:c r="P51" s="88" t="str">
        <x:f>IF(O51&lt;5000,"是","否")</x:f>
        <x:v>是</x:v>
      </x:c>
      <x:c r="Q51" s="90" t="str">
        <x:v>国内经济舱通常含20kg；出票前须按实际票价等级复核</x:v>
      </x:c>
      <x:c r="R51" s="90" t="str">
        <x:v>该去程对应的最低可订返程组合；具体返程航班需打开来源链接确认</x:v>
      </x:c>
      <x:c r="S51" s="91" t="n">
        <x:v>46267.74517780093</x:v>
      </x:c>
      <x:c r="T51" s="92" t="str">
        <x:v>https://www.google.com/travel/flights?hl=zh-CN&amp;curr=CNY&amp;q=Flights%20from%20Shanghai%20to%20Kunming%20from%202026-10-02%20to%202026-10-08</x:v>
      </x:c>
      <x:c r="U51" s="136" t="n">
        <x:v>46303</x:v>
      </x:c>
      <x:c r="V51" s="90" t="str">
        <x:v>08:00</x:v>
      </x:c>
      <x:c r="W51" s="90" t="str">
        <x:v>昆明长水国际机场</x:v>
      </x:c>
      <x:c r="X51" s="137" t="n">
        <x:v>46303</x:v>
      </x:c>
      <x:c r="Y51" s="90" t="str">
        <x:v>10:55</x:v>
      </x:c>
      <x:c r="Z51" s="90" t="str">
        <x:v>上海虹桥国际机场</x:v>
      </x:c>
      <x:c r="AA51" s="90" t="str">
        <x:v>东航</x:v>
      </x:c>
      <x:c r="AB51" s="90" t="n">
        <x:v>0</x:v>
      </x:c>
      <x:c r="AC51" s="90" t="str">
        <x:v>2 小时 55 分钟</x:v>
      </x:c>
      <x:c r="AD51" s="138" t="n">
        <x:v>3414</x:v>
      </x:c>
      <x:c r="AE51" s="90" t="str">
        <x:v>匹配原始往返起价</x:v>
      </x:c>
      <x:c r="AF51" s="92" t="str">
        <x:v>https://www.google.com/travel/flights/search?tfs=CBwQAhpLEgoyMDI2LTEwLTAyIiAKA1NIQRIKMjAyNi0xMC0wMhoDS01HKgJNVTIENTgwNmoMCAISCC9tLzA2d2pmcg0IAhIJL20vMDFjMDZkGikSCjIwMjYtMTAtMDhqDQgCEgkvbS8wMWMwNmRyDAgCEggvbS8wNndqZkABSAFwAYIBCwj___________8BmAEB&amp;tfu=CmxDalJJVEVWeVNtOXViVTh0ZVZGQlJXMDJOWGRDUnkwdExTMHRMUzB0TFMxelpXTmpPVUZCUVVGQlIzRlpRM2swUlZoUVRqQkJFZ1pOVlRVNE1EWWFDZ2pXR2hBQUdnTkRUbGs0SEhEdGpBTT0SAggAIgA&amp;hl=zh-CN&amp;curr=CNY</x:v>
      </x:c>
    </x:row>
    <x:row r="52" ht="42" customHeight="1">
      <x:c r="A52" s="85" t="n">
        <x:f>ROW()-7</x:f>
        <x:v>45</x:v>
      </x:c>
      <x:c r="B52" s="86" t="n">
        <x:v>46296</x:v>
      </x:c>
      <x:c r="C52" s="86" t="n">
        <x:v>46303</x:v>
      </x:c>
      <x:c r="D52" s="87" t="n">
        <x:v>7</x:v>
      </x:c>
      <x:c r="E52" s="88" t="str">
        <x:v>春航</x:v>
      </x:c>
      <x:c r="F52" s="88" t="str">
        <x:v>13:25</x:v>
      </x:c>
      <x:c r="G52" s="88" t="str">
        <x:v>18:15</x:v>
      </x:c>
      <x:c r="H52" s="88" t="str">
        <x:v>上海虹桥国际机场</x:v>
      </x:c>
      <x:c r="I52" s="88" t="str">
        <x:v>昆明长水国际机场</x:v>
      </x:c>
      <x:c r="J52" s="88" t="n">
        <x:v>0</x:v>
      </x:c>
      <x:c r="K52" s="88" t="str">
        <x:v>—</x:v>
      </x:c>
      <x:c r="L52" s="88" t="str">
        <x:v>4 小时 50 分钟</x:v>
      </x:c>
      <x:c r="M52" s="89" t="n">
        <x:v>3100</x:v>
      </x:c>
      <x:c r="N52" s="89" t="n">
        <x:v>350</x:v>
      </x:c>
      <x:c r="O52" s="89" t="n">
        <x:f>M52+N52</x:f>
        <x:v>3450</x:v>
      </x:c>
      <x:c r="P52" s="88" t="str">
        <x:f>IF(O52&lt;5000,"是","否")</x:f>
        <x:v>是</x:v>
      </x:c>
      <x:c r="Q52" s="90" t="str">
        <x:v>春秋低价票可能不含托运；按国内往返20kg保守预留¥350</x:v>
      </x:c>
      <x:c r="R52" s="90" t="str">
        <x:v>该去程对应的最低可订返程组合；具体返程航班需打开来源链接确认</x:v>
      </x:c>
      <x:c r="S52" s="91" t="n">
        <x:v>46267.74517780093</x:v>
      </x:c>
      <x:c r="T52" s="92" t="str">
        <x:v>https://www.google.com/travel/flights?hl=zh-CN&amp;curr=CNY&amp;q=Flights%20from%20Shanghai%20to%20Kunming%20from%202026-10-01%20to%202026-10-08</x:v>
      </x:c>
      <x:c r="U52" s="136" t="n">
        <x:v>46303</x:v>
      </x:c>
      <x:c r="V52" s="90" t="str">
        <x:v>19:20</x:v>
      </x:c>
      <x:c r="W52" s="90" t="str">
        <x:v>昆明长水国际机场</x:v>
      </x:c>
      <x:c r="X52" s="137" t="n">
        <x:v>46303</x:v>
      </x:c>
      <x:c r="Y52" s="90" t="str">
        <x:v>23:55</x:v>
      </x:c>
      <x:c r="Z52" s="90" t="str">
        <x:v>上海虹桥国际机场</x:v>
      </x:c>
      <x:c r="AA52" s="90" t="str">
        <x:v>春航</x:v>
      </x:c>
      <x:c r="AB52" s="90" t="n">
        <x:v>0</x:v>
      </x:c>
      <x:c r="AC52" s="90" t="str">
        <x:v>4 小时 35 分钟</x:v>
      </x:c>
      <x:c r="AD52" s="138" t="n">
        <x:v>3100</x:v>
      </x:c>
      <x:c r="AE52" s="90" t="str">
        <x:v>匹配原始往返起价</x:v>
      </x:c>
      <x:c r="AF52" s="92" t="str">
        <x:v>https://www.google.com/travel/flights/search?tfs=CBwQAhpLEgoyMDI2LTEwLTAxIiAKA1NIQRIKMjAyNi0xMC0wMRoDS01HKgI5QzIEODgyOWoMCAISCC9tLzA2d2pmcg0IAhIJL20vMDFjMDZkGikSCjIwMjYtMTAtMDhqDQgCEgkvbS8wMWMwNmRyDAgCEggvbS8wNndqZkABSAFwAYIBCwj___________8BmAEB&amp;tfu=CmxDalJJWkZWWlJYTm9WSE5zUkc5QlJVUnpSM2RDUnkwdExTMHRMWE50WW1aM09TMXVNVUZCUVVGQlIzRlpRM3BaUWxWeVZEaEJFZ1k1UXpnNE1qa2FDZ2ljR0JBQUdnTkRUbGs0SEhDdDZBST0SAggAIgA&amp;hl=zh-CN&amp;curr=CNY</x:v>
      </x:c>
    </x:row>
    <x:row r="53" ht="42" customHeight="1">
      <x:c r="A53" s="85" t="n">
        <x:f>ROW()-7</x:f>
        <x:v>46</x:v>
      </x:c>
      <x:c r="B53" s="86" t="n">
        <x:v>46298</x:v>
      </x:c>
      <x:c r="C53" s="86" t="n">
        <x:v>46302</x:v>
      </x:c>
      <x:c r="D53" s="87" t="n">
        <x:v>4</x:v>
      </x:c>
      <x:c r="E53" s="88" t="str">
        <x:v>春航</x:v>
      </x:c>
      <x:c r="F53" s="88" t="str">
        <x:v>13:25</x:v>
      </x:c>
      <x:c r="G53" s="88" t="str">
        <x:v>18:15</x:v>
      </x:c>
      <x:c r="H53" s="88" t="str">
        <x:v>上海虹桥国际机场</x:v>
      </x:c>
      <x:c r="I53" s="88" t="str">
        <x:v>昆明长水国际机场</x:v>
      </x:c>
      <x:c r="J53" s="88" t="n">
        <x:v>0</x:v>
      </x:c>
      <x:c r="K53" s="88" t="str">
        <x:v>—</x:v>
      </x:c>
      <x:c r="L53" s="88" t="str">
        <x:v>4 小时 50 分钟</x:v>
      </x:c>
      <x:c r="M53" s="89" t="n">
        <x:v>3100</x:v>
      </x:c>
      <x:c r="N53" s="89" t="n">
        <x:v>350</x:v>
      </x:c>
      <x:c r="O53" s="89" t="n">
        <x:f>M53+N53</x:f>
        <x:v>3450</x:v>
      </x:c>
      <x:c r="P53" s="88" t="str">
        <x:f>IF(O53&lt;5000,"是","否")</x:f>
        <x:v>是</x:v>
      </x:c>
      <x:c r="Q53" s="90" t="str">
        <x:v>春秋低价票可能不含托运；按国内往返20kg保守预留¥350</x:v>
      </x:c>
      <x:c r="R53" s="90" t="str">
        <x:v>该去程对应的最低可订返程组合；具体返程航班需打开来源链接确认</x:v>
      </x:c>
      <x:c r="S53" s="91" t="n">
        <x:v>46267.74517780093</x:v>
      </x:c>
      <x:c r="T53" s="92" t="str">
        <x:v>https://www.google.com/travel/flights?hl=zh-CN&amp;curr=CNY&amp;q=Flights%20from%20Shanghai%20to%20Kunming%20from%202026-10-03%20to%202026-10-07</x:v>
      </x:c>
      <x:c r="U53" s="136" t="n">
        <x:v>46302</x:v>
      </x:c>
      <x:c r="V53" s="90" t="str">
        <x:v>19:20</x:v>
      </x:c>
      <x:c r="W53" s="90" t="str">
        <x:v>昆明长水国际机场</x:v>
      </x:c>
      <x:c r="X53" s="137" t="n">
        <x:v>46302</x:v>
      </x:c>
      <x:c r="Y53" s="90" t="str">
        <x:v>23:55</x:v>
      </x:c>
      <x:c r="Z53" s="90" t="str">
        <x:v>上海虹桥国际机场</x:v>
      </x:c>
      <x:c r="AA53" s="90" t="str">
        <x:v>春航</x:v>
      </x:c>
      <x:c r="AB53" s="90" t="n">
        <x:v>0</x:v>
      </x:c>
      <x:c r="AC53" s="90" t="str">
        <x:v>4 小时 35 分钟</x:v>
      </x:c>
      <x:c r="AD53" s="138" t="n">
        <x:v>3320</x:v>
      </x:c>
      <x:c r="AE53" s="90" t="str">
        <x:v>当前价格已变化，采用当前最低价返程</x:v>
      </x:c>
      <x:c r="AF53" s="92" t="str">
        <x:v>https://www.google.com/travel/flights/search?tfs=CBwQAhpLEgoyMDI2LTEwLTAzIiAKA1NIQRIKMjAyNi0xMC0wMxoDS01HKgI5QzIEODk1M2oMCAISCC9tLzA2d2pmcg0IAhIJL20vMDFjMDZkGikSCjIwMjYtMTAtMDdqDQgCEgkvbS8wMWMwNmRyDAgCEggvbS8wNndqZkABSAFwAYIBCwj___________8BmAEB&amp;tfu=CmxDalJJT1hWcVIzUnVRa3BOUjAxQlJEazJXbmRDUnkwdExTMHRMWE50ZEhneE5pMXVNa0ZCUVVGQlIzRlpRM3BaUldWRlMzRkJFZ1k1UXpnNU5UTWFDZ2o0R1JBQUdnTkRUbGs0SEhEM2dRTT0SAggAIgMKATA&amp;hl=zh-CN&amp;curr=CNY</x:v>
      </x:c>
    </x:row>
    <x:row r="54" ht="42" customHeight="1">
      <x:c r="A54" s="85" t="n">
        <x:f>ROW()-7</x:f>
        <x:v>47</x:v>
      </x:c>
      <x:c r="B54" s="86" t="n">
        <x:v>46296</x:v>
      </x:c>
      <x:c r="C54" s="86" t="n">
        <x:v>46300</x:v>
      </x:c>
      <x:c r="D54" s="87" t="n">
        <x:v>4</x:v>
      </x:c>
      <x:c r="E54" s="88" t="str">
        <x:v>昆航</x:v>
      </x:c>
      <x:c r="F54" s="88" t="str">
        <x:v>13:20</x:v>
      </x:c>
      <x:c r="G54" s="88" t="str">
        <x:v>16:40</x:v>
      </x:c>
      <x:c r="H54" s="88" t="str">
        <x:v>上海浦东国际机场</x:v>
      </x:c>
      <x:c r="I54" s="88" t="str">
        <x:v>昆明长水国际机场</x:v>
      </x:c>
      <x:c r="J54" s="88" t="n">
        <x:v>0</x:v>
      </x:c>
      <x:c r="K54" s="88" t="str">
        <x:v>—</x:v>
      </x:c>
      <x:c r="L54" s="88" t="str">
        <x:v>3 小时 20 分钟</x:v>
      </x:c>
      <x:c r="M54" s="89" t="n">
        <x:v>3455</x:v>
      </x:c>
      <x:c r="N54" s="89" t="n">
        <x:v>0</x:v>
      </x:c>
      <x:c r="O54" s="89" t="n">
        <x:f>M54+N54</x:f>
        <x:v>3455</x:v>
      </x:c>
      <x:c r="P54" s="88" t="str">
        <x:f>IF(O54&lt;5000,"是","否")</x:f>
        <x:v>是</x:v>
      </x:c>
      <x:c r="Q54" s="90" t="str">
        <x:v>国内经济舱通常含20kg；出票前须按实际票价等级复核</x:v>
      </x:c>
      <x:c r="R54" s="90" t="str">
        <x:v>该去程对应的最低可订返程组合；具体返程航班需打开来源链接确认</x:v>
      </x:c>
      <x:c r="S54" s="91" t="n">
        <x:v>46267.74517780093</x:v>
      </x:c>
      <x:c r="T54" s="92" t="str">
        <x:v>https://www.google.com/travel/flights?hl=zh-CN&amp;curr=CNY&amp;q=Flights%20from%20Shanghai%20to%20Kunming%20from%202026-10-01%20to%202026-10-05</x:v>
      </x:c>
      <x:c r="U54" s="136" t="n">
        <x:v>46300</x:v>
      </x:c>
      <x:c r="V54" s="90" t="str">
        <x:v>08:40</x:v>
      </x:c>
      <x:c r="W54" s="90" t="str">
        <x:v>昆明长水国际机场</x:v>
      </x:c>
      <x:c r="X54" s="137" t="n">
        <x:v>46300</x:v>
      </x:c>
      <x:c r="Y54" s="90" t="str">
        <x:v>12:00</x:v>
      </x:c>
      <x:c r="Z54" s="90" t="str">
        <x:v>上海浦东国际机场</x:v>
      </x:c>
      <x:c r="AA54" s="90" t="str">
        <x:v>昆航</x:v>
      </x:c>
      <x:c r="AB54" s="90" t="n">
        <x:v>0</x:v>
      </x:c>
      <x:c r="AC54" s="90" t="str">
        <x:v>3 小时 20 分钟</x:v>
      </x:c>
      <x:c r="AD54" s="138"/>
      <x:c r="AE54" s="90" t="str">
        <x:v>当前返程列表无价格，采用排序第一条</x:v>
      </x:c>
      <x:c r="AF54" s="92" t="str">
        <x:v>https://www.google.com/travel/flights/search?tfs=CBwQAhpLEgoyMDI2LTEwLTAxIiAKA1BWRxIKMjAyNi0xMC0wMRoDS01HKgJLWTIEODIyMGoMCAISCC9tLzA2d2pmcg0IAhIJL20vMDFjMDZkGikSCjIwMjYtMTAtMDVqDQgCEgkvbS8wMWMwNmRyDAgCEggvbS8wNndqZkABSAFwAYIBCwj___________8BmAEB&amp;tfu=CmxDalJJTlU5V1JHUmlTbE5GWkVsQlExcHNOM2RDUnkwdExTMHRMUzB0YzJWaVluRXlOa0ZCUVVGQlIzRlpRM3BaUWkwNUxXZEJFZ1pMV1RneU1qQWFDZ2pnSEJBQUdnTkRUbGs0SEhEanF3TT0SAggAIgA&amp;hl=zh-CN&amp;curr=CNY</x:v>
      </x:c>
    </x:row>
    <x:row r="55" ht="42" customHeight="1">
      <x:c r="A55" s="85" t="n">
        <x:f>ROW()-7</x:f>
        <x:v>48</x:v>
      </x:c>
      <x:c r="B55" s="86" t="n">
        <x:v>46296</x:v>
      </x:c>
      <x:c r="C55" s="86" t="n">
        <x:v>46303</x:v>
      </x:c>
      <x:c r="D55" s="87" t="n">
        <x:v>7</x:v>
      </x:c>
      <x:c r="E55" s="88" t="str">
        <x:v>川航</x:v>
      </x:c>
      <x:c r="F55" s="88" t="str">
        <x:v>22:30</x:v>
      </x:c>
      <x:c r="G55" s="88" t="str">
        <x:v>01:50 +1</x:v>
      </x:c>
      <x:c r="H55" s="88" t="str">
        <x:v>上海浦东国际机场</x:v>
      </x:c>
      <x:c r="I55" s="88" t="str">
        <x:v>昆明长水国际机场</x:v>
      </x:c>
      <x:c r="J55" s="88" t="n">
        <x:v>0</x:v>
      </x:c>
      <x:c r="K55" s="88" t="str">
        <x:v>—</x:v>
      </x:c>
      <x:c r="L55" s="88" t="str">
        <x:v>3 小时 20 分钟</x:v>
      </x:c>
      <x:c r="M55" s="89" t="n">
        <x:v>3588</x:v>
      </x:c>
      <x:c r="N55" s="89" t="n">
        <x:v>0</x:v>
      </x:c>
      <x:c r="O55" s="89" t="n">
        <x:f>M55+N55</x:f>
        <x:v>3588</x:v>
      </x:c>
      <x:c r="P55" s="88" t="str">
        <x:f>IF(O55&lt;5000,"是","否")</x:f>
        <x:v>是</x:v>
      </x:c>
      <x:c r="Q55" s="90" t="str">
        <x:v>国内经济舱通常含20kg；出票前须按实际票价等级复核</x:v>
      </x:c>
      <x:c r="R55" s="90" t="str">
        <x:v>该去程对应的最低可订返程组合；具体返程航班需打开来源链接确认</x:v>
      </x:c>
      <x:c r="S55" s="91" t="n">
        <x:v>46267.74517780093</x:v>
      </x:c>
      <x:c r="T55" s="92" t="str">
        <x:v>https://www.google.com/travel/flights?hl=zh-CN&amp;curr=CNY&amp;q=Flights%20from%20Shanghai%20to%20Kunming%20from%202026-10-01%20to%202026-10-08</x:v>
      </x:c>
      <x:c r="U55" s="136" t="n">
        <x:v>46303</x:v>
      </x:c>
      <x:c r="V55" s="90" t="str">
        <x:v>06:55</x:v>
      </x:c>
      <x:c r="W55" s="90" t="str">
        <x:v>昆明长水国际机场</x:v>
      </x:c>
      <x:c r="X55" s="137" t="n">
        <x:v>46303</x:v>
      </x:c>
      <x:c r="Y55" s="90" t="str">
        <x:v>09:50</x:v>
      </x:c>
      <x:c r="Z55" s="90" t="str">
        <x:v>上海浦东国际机场</x:v>
      </x:c>
      <x:c r="AA55" s="90" t="str">
        <x:v>东航</x:v>
      </x:c>
      <x:c r="AB55" s="90" t="n">
        <x:v>0</x:v>
      </x:c>
      <x:c r="AC55" s="90" t="str">
        <x:v>2 小时 55 分钟</x:v>
      </x:c>
      <x:c r="AD55" s="138"/>
      <x:c r="AE55" s="90" t="str">
        <x:v>当前返程列表无价格，采用排序第一条</x:v>
      </x:c>
      <x:c r="AF55" s="92" t="str">
        <x:v>https://www.google.com/travel/flights/search?tfs=CBwQAhpLEgoyMDI2LTEwLTAxIiAKA1BWRxIKMjAyNi0xMC0wMRoDS01HKgIzVTIEODIwNGoMCAISCC9tLzA2d2pmcg0IAhIJL20vMDFjMDZkGikSCjIwMjYtMTAtMDhqDQgCEgkvbS8wMWMwNmRyDAgCEggvbS8wNndqZkABSAFwAYIBCwj___________8BmAEB&amp;tfu=CmxDalJJV25VMlpHdHJNMVpPY1ZsQlJEaHliRkZDUnkwdExTMHRMUzF6YlhWa015MXVNa0ZCUVVGQlIzRlpRM3BaU21ORVVHRkJFZ1l6VlRneU1EUWFDZ2lFSEJBQUdnTkRUbGs0SEhDS29RTT0SAggAIgMSATA&amp;hl=zh-CN&amp;curr=CNY</x:v>
      </x:c>
    </x:row>
    <x:row r="56" ht="42" customHeight="1">
      <x:c r="A56" s="85" t="n">
        <x:f>ROW()-7</x:f>
        <x:v>49</x:v>
      </x:c>
      <x:c r="B56" s="86" t="n">
        <x:v>46297</x:v>
      </x:c>
      <x:c r="C56" s="86" t="n">
        <x:v>46302</x:v>
      </x:c>
      <x:c r="D56" s="87" t="n">
        <x:v>5</x:v>
      </x:c>
      <x:c r="E56" s="88" t="str">
        <x:v>春航</x:v>
      </x:c>
      <x:c r="F56" s="88" t="str">
        <x:v>10:35</x:v>
      </x:c>
      <x:c r="G56" s="88" t="str">
        <x:v>16:00</x:v>
      </x:c>
      <x:c r="H56" s="88" t="str">
        <x:v>上海浦东国际机场</x:v>
      </x:c>
      <x:c r="I56" s="88" t="str">
        <x:v>昆明长水国际机场</x:v>
      </x:c>
      <x:c r="J56" s="88" t="n">
        <x:v>0</x:v>
      </x:c>
      <x:c r="K56" s="88" t="str">
        <x:v>—</x:v>
      </x:c>
      <x:c r="L56" s="88" t="str">
        <x:v>5 小时 25 分钟</x:v>
      </x:c>
      <x:c r="M56" s="89" t="n">
        <x:v>3240</x:v>
      </x:c>
      <x:c r="N56" s="89" t="n">
        <x:v>350</x:v>
      </x:c>
      <x:c r="O56" s="89" t="n">
        <x:f>M56+N56</x:f>
        <x:v>3590</x:v>
      </x:c>
      <x:c r="P56" s="88" t="str">
        <x:f>IF(O56&lt;5000,"是","否")</x:f>
        <x:v>是</x:v>
      </x:c>
      <x:c r="Q56" s="90" t="str">
        <x:v>春秋低价票可能不含托运；按国内往返20kg保守预留¥350</x:v>
      </x:c>
      <x:c r="R56" s="90" t="str">
        <x:v>该去程对应的最低可订返程组合；具体返程航班需打开来源链接确认</x:v>
      </x:c>
      <x:c r="S56" s="91" t="n">
        <x:v>46267.74517780093</x:v>
      </x:c>
      <x:c r="T56" s="92" t="str">
        <x:v>https://www.google.com/travel/flights?hl=zh-CN&amp;curr=CNY&amp;q=Flights%20from%20Shanghai%20to%20Kunming%20from%202026-10-02%20to%202026-10-07</x:v>
      </x:c>
      <x:c r="U56" s="136" t="n">
        <x:v>46302</x:v>
      </x:c>
      <x:c r="V56" s="90" t="str">
        <x:v>17:10</x:v>
      </x:c>
      <x:c r="W56" s="90" t="str">
        <x:v>昆明长水国际机场</x:v>
      </x:c>
      <x:c r="X56" s="137" t="n">
        <x:v>46302</x:v>
      </x:c>
      <x:c r="Y56" s="90" t="str">
        <x:v>21:45</x:v>
      </x:c>
      <x:c r="Z56" s="90" t="str">
        <x:v>上海浦东国际机场</x:v>
      </x:c>
      <x:c r="AA56" s="90" t="str">
        <x:v>春航</x:v>
      </x:c>
      <x:c r="AB56" s="90" t="n">
        <x:v>0</x:v>
      </x:c>
      <x:c r="AC56" s="90" t="str">
        <x:v>4 小时 35 分钟</x:v>
      </x:c>
      <x:c r="AD56" s="138" t="n">
        <x:v>3240</x:v>
      </x:c>
      <x:c r="AE56" s="90" t="str">
        <x:v>匹配原始往返起价</x:v>
      </x:c>
      <x:c r="AF56" s="92" t="str">
        <x:v>https://www.google.com/travel/flights/search?tfs=CBwQAhpLEgoyMDI2LTEwLTAyIiAKA1BWRxIKMjAyNi0xMC0wMhoDS01HKgI5QzIENjQ1NWoMCAISCC9tLzA2d2pmcg0IAhIJL20vMDFjMDZkGikSCjIwMjYtMTAtMDdqDQgCEgkvbS8wMWMwNmRyDAgCEggvbS8wNndqZkABSAFwAYIBCwj___________8BmAEB&amp;tfu=CmxDalJJWmsxS2JWQnVWblJPWkc5QlJEWXlOSGRDUnkwdExTMHRMWE50ZFdNeU5DMXVNa0ZCUVVGQlIzRlpRM28wVDJ3eVVFVkJFZ1k1UXpZME5UVWFDZ2lvR1JBQUdnTkRUbGs0SEhEUStBST0SAggAIgA&amp;hl=zh-CN&amp;curr=CNY</x:v>
      </x:c>
    </x:row>
    <x:row r="57" ht="42" customHeight="1">
      <x:c r="A57" s="85" t="n">
        <x:f>ROW()-7</x:f>
        <x:v>50</x:v>
      </x:c>
      <x:c r="B57" s="86" t="n">
        <x:v>46298</x:v>
      </x:c>
      <x:c r="C57" s="86" t="n">
        <x:v>46302</x:v>
      </x:c>
      <x:c r="D57" s="87" t="n">
        <x:v>4</x:v>
      </x:c>
      <x:c r="E57" s="88" t="str">
        <x:v>春航</x:v>
      </x:c>
      <x:c r="F57" s="88" t="str">
        <x:v>07:45</x:v>
      </x:c>
      <x:c r="G57" s="88" t="str">
        <x:v>10:55</x:v>
      </x:c>
      <x:c r="H57" s="88" t="str">
        <x:v>上海虹桥国际机场</x:v>
      </x:c>
      <x:c r="I57" s="88" t="str">
        <x:v>昆明长水国际机场</x:v>
      </x:c>
      <x:c r="J57" s="88" t="n">
        <x:v>0</x:v>
      </x:c>
      <x:c r="K57" s="88" t="str">
        <x:v>—</x:v>
      </x:c>
      <x:c r="L57" s="88" t="str">
        <x:v>3 小时 10 分钟</x:v>
      </x:c>
      <x:c r="M57" s="89" t="n">
        <x:v>3320</x:v>
      </x:c>
      <x:c r="N57" s="89" t="n">
        <x:v>350</x:v>
      </x:c>
      <x:c r="O57" s="89" t="n">
        <x:f>M57+N57</x:f>
        <x:v>3670</x:v>
      </x:c>
      <x:c r="P57" s="88" t="str">
        <x:f>IF(O57&lt;5000,"是","否")</x:f>
        <x:v>是</x:v>
      </x:c>
      <x:c r="Q57" s="90" t="str">
        <x:v>春秋低价票可能不含托运；按国内往返20kg保守预留¥350</x:v>
      </x:c>
      <x:c r="R57" s="90" t="str">
        <x:v>该去程对应的最低可订返程组合；具体返程航班需打开来源链接确认</x:v>
      </x:c>
      <x:c r="S57" s="91" t="n">
        <x:v>46267.74517780093</x:v>
      </x:c>
      <x:c r="T57" s="92" t="str">
        <x:v>https://www.google.com/travel/flights?hl=zh-CN&amp;curr=CNY&amp;q=Flights%20from%20Shanghai%20to%20Kunming%20from%202026-10-03%20to%202026-10-07</x:v>
      </x:c>
      <x:c r="U57" s="136" t="n">
        <x:v>46302</x:v>
      </x:c>
      <x:c r="V57" s="90" t="str">
        <x:v>19:20</x:v>
      </x:c>
      <x:c r="W57" s="90" t="str">
        <x:v>昆明长水国际机场</x:v>
      </x:c>
      <x:c r="X57" s="137" t="n">
        <x:v>46302</x:v>
      </x:c>
      <x:c r="Y57" s="90" t="str">
        <x:v>23:55</x:v>
      </x:c>
      <x:c r="Z57" s="90" t="str">
        <x:v>上海虹桥国际机场</x:v>
      </x:c>
      <x:c r="AA57" s="90" t="str">
        <x:v>春航</x:v>
      </x:c>
      <x:c r="AB57" s="90" t="n">
        <x:v>0</x:v>
      </x:c>
      <x:c r="AC57" s="90" t="str">
        <x:v>4 小时 35 分钟</x:v>
      </x:c>
      <x:c r="AD57" s="138" t="n">
        <x:v>3320</x:v>
      </x:c>
      <x:c r="AE57" s="90" t="str">
        <x:v>匹配原始往返起价</x:v>
      </x:c>
      <x:c r="AF57" s="92" t="str">
        <x:v>https://www.google.com/travel/flights/search?tfs=CBwQAhpLEgoyMDI2LTEwLTAzIiAKA1NIQRIKMjAyNi0xMC0wMxoDS01HKgI5QzIEODk1M2oMCAISCC9tLzA2d2pmcg0IAhIJL20vMDFjMDZkGikSCjIwMjYtMTAtMDdqDQgCEgkvbS8wMWMwNmRyDAgCEggvbS8wNndqZkABSAFwAYIBCwj___________8BmAEB&amp;tfu=CmxDalJJTFdzelFXRXhNM05FT1ZGQlJWQTFlR2RDUnkwdExTMHRMUzB0TFMxelpXRmtOa0ZCUVVGQlIzRlpRM28wU3pCc1NXMUJFZ1k1UXpnNU5UTWFDZ2o0R1JBQUdnTkRUbGs0SEhEM2dRTT0SAggAIgMKATA&amp;hl=zh-CN&amp;curr=CNY</x:v>
      </x:c>
    </x:row>
    <x:row r="58" ht="42" customHeight="1">
      <x:c r="A58" s="85" t="n">
        <x:f>ROW()-7</x:f>
        <x:v>51</x:v>
      </x:c>
      <x:c r="B58" s="86" t="n">
        <x:v>46296</x:v>
      </x:c>
      <x:c r="C58" s="86" t="n">
        <x:v>46303</x:v>
      </x:c>
      <x:c r="D58" s="87" t="n">
        <x:v>7</x:v>
      </x:c>
      <x:c r="E58" s="88" t="str">
        <x:v>东航</x:v>
      </x:c>
      <x:c r="F58" s="88" t="str">
        <x:v>18:50</x:v>
      </x:c>
      <x:c r="G58" s="88" t="str">
        <x:v>22:25</x:v>
      </x:c>
      <x:c r="H58" s="88" t="str">
        <x:v>上海浦东国际机场</x:v>
      </x:c>
      <x:c r="I58" s="88" t="str">
        <x:v>昆明长水国际机场</x:v>
      </x:c>
      <x:c r="J58" s="88" t="n">
        <x:v>0</x:v>
      </x:c>
      <x:c r="K58" s="88" t="str">
        <x:v>—</x:v>
      </x:c>
      <x:c r="L58" s="88" t="str">
        <x:v>3 小时 35 分钟</x:v>
      </x:c>
      <x:c r="M58" s="89" t="n">
        <x:v>3673</x:v>
      </x:c>
      <x:c r="N58" s="89" t="n">
        <x:v>0</x:v>
      </x:c>
      <x:c r="O58" s="89" t="n">
        <x:f>M58+N58</x:f>
        <x:v>3673</x:v>
      </x:c>
      <x:c r="P58" s="88" t="str">
        <x:f>IF(O58&lt;5000,"是","否")</x:f>
        <x:v>是</x:v>
      </x:c>
      <x:c r="Q58" s="90" t="str">
        <x:v>国内经济舱通常含20kg；出票前须按实际票价等级复核</x:v>
      </x:c>
      <x:c r="R58" s="90" t="str">
        <x:v>该去程对应的最低可订返程组合；具体返程航班需打开来源链接确认</x:v>
      </x:c>
      <x:c r="S58" s="91" t="n">
        <x:v>46267.74517780093</x:v>
      </x:c>
      <x:c r="T58" s="92" t="str">
        <x:v>https://www.google.com/travel/flights?hl=zh-CN&amp;curr=CNY&amp;q=Flights%20from%20Shanghai%20to%20Kunming%20from%202026-10-01%20to%202026-10-08</x:v>
      </x:c>
      <x:c r="U58" s="136" t="n">
        <x:v>46303</x:v>
      </x:c>
      <x:c r="V58" s="90" t="str">
        <x:v>18:20</x:v>
      </x:c>
      <x:c r="W58" s="90" t="str">
        <x:v>昆明长水国际机场</x:v>
      </x:c>
      <x:c r="X58" s="137" t="n">
        <x:v>46303</x:v>
      </x:c>
      <x:c r="Y58" s="90" t="str">
        <x:v>21:25</x:v>
      </x:c>
      <x:c r="Z58" s="90" t="str">
        <x:v>上海浦东国际机场</x:v>
      </x:c>
      <x:c r="AA58" s="90" t="str">
        <x:v>川航</x:v>
      </x:c>
      <x:c r="AB58" s="90" t="n">
        <x:v>0</x:v>
      </x:c>
      <x:c r="AC58" s="90" t="str">
        <x:v>3 小时 5 分钟</x:v>
      </x:c>
      <x:c r="AD58" s="138" t="n">
        <x:v>3672</x:v>
      </x:c>
      <x:c r="AE58" s="90" t="str">
        <x:v>当前价格已变化，采用当前最低价返程</x:v>
      </x:c>
      <x:c r="AF58" s="92" t="str">
        <x:v>https://www.google.com/travel/flights/search?tfs=CBwQAhpLEgoyMDI2LTEwLTAxIiAKA1BWRxIKMjAyNi0xMC0wMRoDS01HKgJNVTIENTgxOGoMCAISCC9tLzA2d2pmcg0IAhIJL20vMDFjMDZkGikSCjIwMjYtMTAtMDhqDQgCEgkvbS8wMWMwNmRyDAgCEggvbS8wNndqZkABSAFwAYIBCwj___________8BmAEB&amp;tfu=CmxDalJJVEVvMGRVZFVjWE5mVEZsQlJXdHpPR2RDUnkwdExTMHRMUzB0YzJWaVpXRTBNVUZCUVVGQlIzRlpRM280UVVoaGJrRkJFZ1pOVlRVNE1UZ2FDZ2pZSEJBQUdnTkRUbGs0SEhEc3FnTT0SAggAIgA&amp;hl=zh-CN&amp;curr=CNY</x:v>
      </x:c>
    </x:row>
    <x:row r="59" ht="42" customHeight="1">
      <x:c r="A59" s="85" t="n">
        <x:f>ROW()-7</x:f>
        <x:v>52</x:v>
      </x:c>
      <x:c r="B59" s="86" t="n">
        <x:v>46297</x:v>
      </x:c>
      <x:c r="C59" s="86" t="n">
        <x:v>46302</x:v>
      </x:c>
      <x:c r="D59" s="87" t="n">
        <x:v>5</x:v>
      </x:c>
      <x:c r="E59" s="88" t="str">
        <x:v>昆航</x:v>
      </x:c>
      <x:c r="F59" s="88" t="str">
        <x:v>17:35</x:v>
      </x:c>
      <x:c r="G59" s="88" t="str">
        <x:v>20:50</x:v>
      </x:c>
      <x:c r="H59" s="88" t="str">
        <x:v>上海浦东国际机场</x:v>
      </x:c>
      <x:c r="I59" s="88" t="str">
        <x:v>昆明长水国际机场</x:v>
      </x:c>
      <x:c r="J59" s="88" t="n">
        <x:v>0</x:v>
      </x:c>
      <x:c r="K59" s="88" t="str">
        <x:v>—</x:v>
      </x:c>
      <x:c r="L59" s="88" t="str">
        <x:v>3 小时 15 分钟</x:v>
      </x:c>
      <x:c r="M59" s="89" t="n">
        <x:v>3701</x:v>
      </x:c>
      <x:c r="N59" s="89" t="n">
        <x:v>0</x:v>
      </x:c>
      <x:c r="O59" s="89" t="n">
        <x:f>M59+N59</x:f>
        <x:v>3701</x:v>
      </x:c>
      <x:c r="P59" s="88" t="str">
        <x:f>IF(O59&lt;5000,"是","否")</x:f>
        <x:v>是</x:v>
      </x:c>
      <x:c r="Q59" s="90" t="str">
        <x:v>国内经济舱通常含20kg；出票前须按实际票价等级复核</x:v>
      </x:c>
      <x:c r="R59" s="90" t="str">
        <x:v>该去程对应的最低可订返程组合；具体返程航班需打开来源链接确认</x:v>
      </x:c>
      <x:c r="S59" s="91" t="n">
        <x:v>46267.74517780093</x:v>
      </x:c>
      <x:c r="T59" s="92" t="str">
        <x:v>https://www.google.com/travel/flights?hl=zh-CN&amp;curr=CNY&amp;q=Flights%20from%20Shanghai%20to%20Kunming%20from%202026-10-02%20to%202026-10-07</x:v>
      </x:c>
      <x:c r="U59" s="136" t="n">
        <x:v>46302</x:v>
      </x:c>
      <x:c r="V59" s="90" t="str">
        <x:v>08:40</x:v>
      </x:c>
      <x:c r="W59" s="90" t="str">
        <x:v>昆明长水国际机场</x:v>
      </x:c>
      <x:c r="X59" s="137" t="n">
        <x:v>46302</x:v>
      </x:c>
      <x:c r="Y59" s="90" t="str">
        <x:v>12:00</x:v>
      </x:c>
      <x:c r="Z59" s="90" t="str">
        <x:v>上海浦东国际机场</x:v>
      </x:c>
      <x:c r="AA59" s="90" t="str">
        <x:v>昆航</x:v>
      </x:c>
      <x:c r="AB59" s="90" t="n">
        <x:v>0</x:v>
      </x:c>
      <x:c r="AC59" s="90" t="str">
        <x:v>3 小时 20 分钟</x:v>
      </x:c>
      <x:c r="AD59" s="138" t="n">
        <x:v>3701</x:v>
      </x:c>
      <x:c r="AE59" s="90" t="str">
        <x:v>匹配原始往返起价</x:v>
      </x:c>
      <x:c r="AF59" s="92" t="str">
        <x:v>https://www.google.com/travel/flights/search?tfs=CBwQAhpLEgoyMDI2LTEwLTAyIiAKA1BWRxIKMjAyNi0xMC0wMhoDS01HKgJLWTIEODIxOGoMCAISCC9tLzA2d2pmcg0IAhIJL20vMDFjMDZkGikSCjIwMjYtMTAtMDdqDQgCEgkvbS8wMWMwNmRyDAgCEggvbS8wNndqZkABSAFwAYIBCwj___________8BmAEB&amp;tfu=ClhDalJJVGxGb1IzSTNiM1ZaTUVsQlJXaFhXbWRDUnkwdExTMHRMUzB0TFhObGRYVXlNa0ZCUVVGQlIzRlpRM280UVVKTlRFRkJFZ1pMV1RneU1UZzRIQT09EgIIACIA&amp;hl=zh-CN&amp;curr=CNY</x:v>
      </x:c>
    </x:row>
    <x:row r="60" ht="42" customHeight="1">
      <x:c r="A60" s="85" t="n">
        <x:f>ROW()-7</x:f>
        <x:v>53</x:v>
      </x:c>
      <x:c r="B60" s="86" t="n">
        <x:v>46297</x:v>
      </x:c>
      <x:c r="C60" s="86" t="n">
        <x:v>46302</x:v>
      </x:c>
      <x:c r="D60" s="87" t="n">
        <x:v>5</x:v>
      </x:c>
      <x:c r="E60" s="88" t="str">
        <x:v>昆航</x:v>
      </x:c>
      <x:c r="F60" s="88" t="str">
        <x:v>19:15</x:v>
      </x:c>
      <x:c r="G60" s="88" t="str">
        <x:v>22:50</x:v>
      </x:c>
      <x:c r="H60" s="88" t="str">
        <x:v>上海浦东国际机场</x:v>
      </x:c>
      <x:c r="I60" s="88" t="str">
        <x:v>昆明长水国际机场</x:v>
      </x:c>
      <x:c r="J60" s="88" t="n">
        <x:v>0</x:v>
      </x:c>
      <x:c r="K60" s="88" t="str">
        <x:v>—</x:v>
      </x:c>
      <x:c r="L60" s="88" t="str">
        <x:v>3 小时 35 分钟</x:v>
      </x:c>
      <x:c r="M60" s="89" t="n">
        <x:v>3701</x:v>
      </x:c>
      <x:c r="N60" s="89" t="n">
        <x:v>0</x:v>
      </x:c>
      <x:c r="O60" s="89" t="n">
        <x:f>M60+N60</x:f>
        <x:v>3701</x:v>
      </x:c>
      <x:c r="P60" s="88" t="str">
        <x:f>IF(O60&lt;5000,"是","否")</x:f>
        <x:v>是</x:v>
      </x:c>
      <x:c r="Q60" s="90" t="str">
        <x:v>国内经济舱通常含20kg；出票前须按实际票价等级复核</x:v>
      </x:c>
      <x:c r="R60" s="90" t="str">
        <x:v>该去程对应的最低可订返程组合；具体返程航班需打开来源链接确认</x:v>
      </x:c>
      <x:c r="S60" s="91" t="n">
        <x:v>46267.74517780093</x:v>
      </x:c>
      <x:c r="T60" s="92" t="str">
        <x:v>https://www.google.com/travel/flights?hl=zh-CN&amp;curr=CNY&amp;q=Flights%20from%20Shanghai%20to%20Kunming%20from%202026-10-02%20to%202026-10-07</x:v>
      </x:c>
      <x:c r="U60" s="136" t="n">
        <x:v>46302</x:v>
      </x:c>
      <x:c r="V60" s="90" t="str">
        <x:v>08:40</x:v>
      </x:c>
      <x:c r="W60" s="90" t="str">
        <x:v>昆明长水国际机场</x:v>
      </x:c>
      <x:c r="X60" s="137" t="n">
        <x:v>46302</x:v>
      </x:c>
      <x:c r="Y60" s="90" t="str">
        <x:v>12:00</x:v>
      </x:c>
      <x:c r="Z60" s="90" t="str">
        <x:v>上海浦东国际机场</x:v>
      </x:c>
      <x:c r="AA60" s="90" t="str">
        <x:v>昆航</x:v>
      </x:c>
      <x:c r="AB60" s="90" t="n">
        <x:v>0</x:v>
      </x:c>
      <x:c r="AC60" s="90" t="str">
        <x:v>3 小时 20 分钟</x:v>
      </x:c>
      <x:c r="AD60" s="138"/>
      <x:c r="AE60" s="90" t="str">
        <x:v>当前返程列表无价格，采用排序第一条</x:v>
      </x:c>
      <x:c r="AF60" s="92" t="str">
        <x:v>https://www.google.com/travel/flights/search?tfs=CBwQAhpLEgoyMDI2LTEwLTAyIiAKA1BWRxIKMjAyNi0xMC0wMhoDS01HKgJLWTIEODIyMmoMCAISCC9tLzA2d2pmcg0IAhIJL20vMDFjMDZkGikSCjIwMjYtMTAtMDdqDQgCEgkvbS8wMWMwNmRyDAgCEggvbS8wNndqZkABSAFwAYIBCwj___________8BmAEB&amp;tfu=CmxDalJJVTFCd2FUaFNTbWhxVTBsQlJWVlVXa0ZDUnkwdExTMHRMUzB0YzIxck1TMXVNVUZCUVVGQlIzRlpRekJqUTI0eU1pMUJFZ1pMV1RneU1qSWFDZ2oxSEJBQUdnTkRUbGs0SEhDYnJnTT0SAggAIgA&amp;hl=zh-CN&amp;curr=CNY</x:v>
      </x:c>
    </x:row>
    <x:row r="61" ht="42" customHeight="1">
      <x:c r="A61" s="85" t="n">
        <x:f>ROW()-7</x:f>
        <x:v>54</x:v>
      </x:c>
      <x:c r="B61" s="86" t="n">
        <x:v>46298</x:v>
      </x:c>
      <x:c r="C61" s="86" t="n">
        <x:v>46304</x:v>
      </x:c>
      <x:c r="D61" s="87" t="n">
        <x:v>6</x:v>
      </x:c>
      <x:c r="E61" s="88" t="str">
        <x:v>东航</x:v>
      </x:c>
      <x:c r="F61" s="88" t="str">
        <x:v>21:40</x:v>
      </x:c>
      <x:c r="G61" s="88" t="str">
        <x:v>01:15 +1</x:v>
      </x:c>
      <x:c r="H61" s="88" t="str">
        <x:v>上海浦东国际机场</x:v>
      </x:c>
      <x:c r="I61" s="88" t="str">
        <x:v>昆明长水国际机场</x:v>
      </x:c>
      <x:c r="J61" s="88" t="n">
        <x:v>0</x:v>
      </x:c>
      <x:c r="K61" s="88" t="str">
        <x:v>—</x:v>
      </x:c>
      <x:c r="L61" s="88" t="str">
        <x:v>3 小时 35 分钟</x:v>
      </x:c>
      <x:c r="M61" s="89" t="n">
        <x:v>3715</x:v>
      </x:c>
      <x:c r="N61" s="89" t="n">
        <x:v>0</x:v>
      </x:c>
      <x:c r="O61" s="89" t="n">
        <x:f>M61+N61</x:f>
        <x:v>3715</x:v>
      </x:c>
      <x:c r="P61" s="88" t="str">
        <x:f>IF(O61&lt;5000,"是","否")</x:f>
        <x:v>是</x:v>
      </x:c>
      <x:c r="Q61" s="90" t="str">
        <x:v>国内经济舱通常含20kg；出票前须按实际票价等级复核</x:v>
      </x:c>
      <x:c r="R61" s="90" t="str">
        <x:v>该去程对应的最低可订返程组合；具体返程航班需打开来源链接确认</x:v>
      </x:c>
      <x:c r="S61" s="91" t="n">
        <x:v>46267.74517780093</x:v>
      </x:c>
      <x:c r="T61" s="92" t="str">
        <x:v>https://www.google.com/travel/flights?hl=zh-CN&amp;curr=CNY&amp;q=Flights%20from%20Shanghai%20to%20Kunming%20from%202026-10-03%20to%202026-10-09</x:v>
      </x:c>
      <x:c r="U61" s="136" t="n">
        <x:v>46304</x:v>
      </x:c>
      <x:c r="V61" s="90" t="str">
        <x:v>06:55</x:v>
      </x:c>
      <x:c r="W61" s="90" t="str">
        <x:v>昆明长水国际机场</x:v>
      </x:c>
      <x:c r="X61" s="137" t="n">
        <x:v>46304</x:v>
      </x:c>
      <x:c r="Y61" s="90" t="str">
        <x:v>09:50</x:v>
      </x:c>
      <x:c r="Z61" s="90" t="str">
        <x:v>上海浦东国际机场</x:v>
      </x:c>
      <x:c r="AA61" s="90" t="str">
        <x:v>东航</x:v>
      </x:c>
      <x:c r="AB61" s="90" t="n">
        <x:v>0</x:v>
      </x:c>
      <x:c r="AC61" s="90" t="str">
        <x:v>2 小时 55 分钟</x:v>
      </x:c>
      <x:c r="AD61" s="138"/>
      <x:c r="AE61" s="90" t="str">
        <x:v>当前返程列表无价格，采用排序第一条</x:v>
      </x:c>
      <x:c r="AF61" s="92" t="str">
        <x:v>https://www.google.com/travel/flights/search?tfs=CBwQAhpLEgoyMDI2LTEwLTAzIiAKA1BWRxIKMjAyNi0xMC0wMxoDS01HKgJNVTIENTgyMmoMCAISCC9tLzA2d2pmcg0IAhIJL20vMDFjMDZkGikSCjIwMjYtMTAtMDlqDQgCEgkvbS8wMWMwNmRyDAgCEggvbS8wNndqZkABSAFwAYIBCwj___________8BmAEB&amp;tfu=CmxDalJJYjBOd1MydElWbTlpTW1OQlJIVlhkV2RDUnkwdExTMHRMWE50WTNkck55MXVNa0ZCUVVGQlIzRlpRekJqUW5KT1RrMUJFZ1pOVlRVNE1qSWFDZ2lESFJBQUdnTkRUbGs0SEhEc3J3TT0SAggAIgMKATA&amp;hl=zh-CN&amp;curr=CNY</x:v>
      </x:c>
    </x:row>
    <x:row r="62" ht="42" customHeight="1">
      <x:c r="A62" s="85" t="n">
        <x:f>ROW()-7</x:f>
        <x:v>55</x:v>
      </x:c>
      <x:c r="B62" s="86" t="n">
        <x:v>46296</x:v>
      </x:c>
      <x:c r="C62" s="86" t="n">
        <x:v>46300</x:v>
      </x:c>
      <x:c r="D62" s="87" t="n">
        <x:v>4</x:v>
      </x:c>
      <x:c r="E62" s="88" t="str">
        <x:v>春航</x:v>
      </x:c>
      <x:c r="F62" s="88" t="str">
        <x:v>13:25</x:v>
      </x:c>
      <x:c r="G62" s="88" t="str">
        <x:v>18:15</x:v>
      </x:c>
      <x:c r="H62" s="88" t="str">
        <x:v>上海虹桥国际机场</x:v>
      </x:c>
      <x:c r="I62" s="88" t="str">
        <x:v>昆明长水国际机场</x:v>
      </x:c>
      <x:c r="J62" s="88" t="n">
        <x:v>0</x:v>
      </x:c>
      <x:c r="K62" s="88" t="str">
        <x:v>—</x:v>
      </x:c>
      <x:c r="L62" s="88" t="str">
        <x:v>4 小时 50 分钟</x:v>
      </x:c>
      <x:c r="M62" s="89" t="n">
        <x:v>3380</x:v>
      </x:c>
      <x:c r="N62" s="89" t="n">
        <x:v>350</x:v>
      </x:c>
      <x:c r="O62" s="89" t="n">
        <x:f>M62+N62</x:f>
        <x:v>3730</x:v>
      </x:c>
      <x:c r="P62" s="88" t="str">
        <x:f>IF(O62&lt;5000,"是","否")</x:f>
        <x:v>是</x:v>
      </x:c>
      <x:c r="Q62" s="90" t="str">
        <x:v>春秋低价票可能不含托运；按国内往返20kg保守预留¥350</x:v>
      </x:c>
      <x:c r="R62" s="90" t="str">
        <x:v>该去程对应的最低可订返程组合；具体返程航班需打开来源链接确认</x:v>
      </x:c>
      <x:c r="S62" s="91" t="n">
        <x:v>46267.74517780093</x:v>
      </x:c>
      <x:c r="T62" s="92" t="str">
        <x:v>https://www.google.com/travel/flights?hl=zh-CN&amp;curr=CNY&amp;q=Flights%20from%20Shanghai%20to%20Kunming%20from%202026-10-01%20to%202026-10-05</x:v>
      </x:c>
      <x:c r="U62" s="136" t="n">
        <x:v>46300</x:v>
      </x:c>
      <x:c r="V62" s="90" t="str">
        <x:v>12:45</x:v>
      </x:c>
      <x:c r="W62" s="90" t="str">
        <x:v>昆明长水国际机场</x:v>
      </x:c>
      <x:c r="X62" s="137" t="n">
        <x:v>46300</x:v>
      </x:c>
      <x:c r="Y62" s="90" t="str">
        <x:v>16:00</x:v>
      </x:c>
      <x:c r="Z62" s="90" t="str">
        <x:v>上海虹桥国际机场</x:v>
      </x:c>
      <x:c r="AA62" s="90" t="str">
        <x:v>春航</x:v>
      </x:c>
      <x:c r="AB62" s="90" t="n">
        <x:v>0</x:v>
      </x:c>
      <x:c r="AC62" s="90" t="str">
        <x:v>3 小时 15 分钟</x:v>
      </x:c>
      <x:c r="AD62" s="138" t="n">
        <x:v>3380</x:v>
      </x:c>
      <x:c r="AE62" s="90" t="str">
        <x:v>匹配原始往返起价</x:v>
      </x:c>
      <x:c r="AF62" s="92" t="str">
        <x:v>https://www.google.com/travel/flights/search?tfs=CBwQAhpLEgoyMDI2LTEwLTAxIiAKA1NIQRIKMjAyNi0xMC0wMRoDS01HKgI5QzIEODgyOWoMCAISCC9tLzA2d2pmcg0IAhIJL20vMDFjMDZkGikSCjIwMjYtMTAtMDVqDQgCEgkvbS8wMWMwNmRyDAgCEggvbS8wNndqZkABSAFwAYIBCwj___________8BmAEB&amp;tfu=CmxDalJJYlhCeE56bGlkak5LY1dkQlJESlFUVkZDUnkwdExTMHRMUzF6YlhWNE9DMXVNa0ZCUVVGQlIzRlpRekJqUTJwR1dVMUJFZ1k1UXpnNE1qa2FDZ2kwR2hBQUdnTkRUbGs0SEhEemlBTT0SAggAIgA&amp;hl=zh-CN&amp;curr=CNY</x:v>
      </x:c>
    </x:row>
    <x:row r="63" ht="42" customHeight="1">
      <x:c r="A63" s="85" t="n">
        <x:f>ROW()-7</x:f>
        <x:v>56</x:v>
      </x:c>
      <x:c r="B63" s="86" t="n">
        <x:v>46297</x:v>
      </x:c>
      <x:c r="C63" s="86" t="n">
        <x:v>46301</x:v>
      </x:c>
      <x:c r="D63" s="87" t="n">
        <x:v>4</x:v>
      </x:c>
      <x:c r="E63" s="88" t="str">
        <x:v>春航</x:v>
      </x:c>
      <x:c r="F63" s="88" t="str">
        <x:v>13:25</x:v>
      </x:c>
      <x:c r="G63" s="88" t="str">
        <x:v>18:15</x:v>
      </x:c>
      <x:c r="H63" s="88" t="str">
        <x:v>上海虹桥国际机场</x:v>
      </x:c>
      <x:c r="I63" s="88" t="str">
        <x:v>昆明长水国际机场</x:v>
      </x:c>
      <x:c r="J63" s="88" t="n">
        <x:v>0</x:v>
      </x:c>
      <x:c r="K63" s="88" t="str">
        <x:v>—</x:v>
      </x:c>
      <x:c r="L63" s="88" t="str">
        <x:v>4 小时 50 分钟</x:v>
      </x:c>
      <x:c r="M63" s="89" t="n">
        <x:v>3380</x:v>
      </x:c>
      <x:c r="N63" s="89" t="n">
        <x:v>350</x:v>
      </x:c>
      <x:c r="O63" s="89" t="n">
        <x:f>M63+N63</x:f>
        <x:v>3730</x:v>
      </x:c>
      <x:c r="P63" s="88" t="str">
        <x:f>IF(O63&lt;5000,"是","否")</x:f>
        <x:v>是</x:v>
      </x:c>
      <x:c r="Q63" s="90" t="str">
        <x:v>春秋低价票可能不含托运；按国内往返20kg保守预留¥350</x:v>
      </x:c>
      <x:c r="R63" s="90" t="str">
        <x:v>该去程对应的最低可订返程组合；具体返程航班需打开来源链接确认</x:v>
      </x:c>
      <x:c r="S63" s="91" t="n">
        <x:v>46267.74517780093</x:v>
      </x:c>
      <x:c r="T63" s="92" t="str">
        <x:v>https://www.google.com/travel/flights?hl=zh-CN&amp;curr=CNY&amp;q=Flights%20from%20Shanghai%20to%20Kunming%20from%202026-10-02%20to%202026-10-06</x:v>
      </x:c>
      <x:c r="U63" s="136" t="n">
        <x:v>46301</x:v>
      </x:c>
      <x:c r="V63" s="90" t="str">
        <x:v>12:45</x:v>
      </x:c>
      <x:c r="W63" s="90" t="str">
        <x:v>昆明长水国际机场</x:v>
      </x:c>
      <x:c r="X63" s="137" t="n">
        <x:v>46301</x:v>
      </x:c>
      <x:c r="Y63" s="90" t="str">
        <x:v>16:00</x:v>
      </x:c>
      <x:c r="Z63" s="90" t="str">
        <x:v>上海虹桥国际机场</x:v>
      </x:c>
      <x:c r="AA63" s="90" t="str">
        <x:v>春航</x:v>
      </x:c>
      <x:c r="AB63" s="90" t="n">
        <x:v>0</x:v>
      </x:c>
      <x:c r="AC63" s="90" t="str">
        <x:v>3 小时 15 分钟</x:v>
      </x:c>
      <x:c r="AD63" s="138" t="n">
        <x:v>3380</x:v>
      </x:c>
      <x:c r="AE63" s="90" t="str">
        <x:v>匹配原始往返起价</x:v>
      </x:c>
      <x:c r="AF63" s="92" t="str">
        <x:v>https://www.google.com/travel/flights/search?tfs=CBwQAhpLEgoyMDI2LTEwLTAyIiAKA1NIQRIKMjAyNi0xMC0wMhoDS01HKgI5QzIEODgyOWoMCAISCC9tLzA2d2pmcg0IAhIJL20vMDFjMDZkGikSCjIwMjYtMTAtMDZqDQgCEgkvbS8wMWMwNmRyDAgCEggvbS8wNndqZkABSAFwAYIBCwj___________8BmAEB&amp;tfu=CmxDalJJTFdzelFXRXhNM05FT1ZGQlJWQTVja0ZDUnkwdExTMHRMUzB0TFMxelpXRmtOa0ZCUVVGQlIzRlpRekJqUTJaU2NXbEJFZ1k1UXpnNE1qa2FDZ2kwR2hBQUdnTkRUbGs0SEhEemlBTT0SAggAIgA&amp;hl=zh-CN&amp;curr=CNY</x:v>
      </x:c>
    </x:row>
    <x:row r="64" ht="42" customHeight="1">
      <x:c r="A64" s="85" t="n">
        <x:f>ROW()-7</x:f>
        <x:v>57</x:v>
      </x:c>
      <x:c r="B64" s="86" t="n">
        <x:v>46297</x:v>
      </x:c>
      <x:c r="C64" s="86" t="n">
        <x:v>46302</x:v>
      </x:c>
      <x:c r="D64" s="87" t="n">
        <x:v>5</x:v>
      </x:c>
      <x:c r="E64" s="88" t="str">
        <x:v>昆航</x:v>
      </x:c>
      <x:c r="F64" s="88" t="str">
        <x:v>13:20</x:v>
      </x:c>
      <x:c r="G64" s="88" t="str">
        <x:v>16:40</x:v>
      </x:c>
      <x:c r="H64" s="88" t="str">
        <x:v>上海浦东国际机场</x:v>
      </x:c>
      <x:c r="I64" s="88" t="str">
        <x:v>昆明长水国际机场</x:v>
      </x:c>
      <x:c r="J64" s="88" t="n">
        <x:v>0</x:v>
      </x:c>
      <x:c r="K64" s="88" t="str">
        <x:v>—</x:v>
      </x:c>
      <x:c r="L64" s="88" t="str">
        <x:v>3 小时 20 分钟</x:v>
      </x:c>
      <x:c r="M64" s="89" t="n">
        <x:v>3820</x:v>
      </x:c>
      <x:c r="N64" s="89" t="n">
        <x:v>0</x:v>
      </x:c>
      <x:c r="O64" s="89" t="n">
        <x:f>M64+N64</x:f>
        <x:v>3820</x:v>
      </x:c>
      <x:c r="P64" s="88" t="str">
        <x:f>IF(O64&lt;5000,"是","否")</x:f>
        <x:v>是</x:v>
      </x:c>
      <x:c r="Q64" s="90" t="str">
        <x:v>国内经济舱通常含20kg；出票前须按实际票价等级复核</x:v>
      </x:c>
      <x:c r="R64" s="90" t="str">
        <x:v>该去程对应的最低可订返程组合；具体返程航班需打开来源链接确认</x:v>
      </x:c>
      <x:c r="S64" s="91" t="n">
        <x:v>46267.74517780093</x:v>
      </x:c>
      <x:c r="T64" s="92" t="str">
        <x:v>https://www.google.com/travel/flights?hl=zh-CN&amp;curr=CNY&amp;q=Flights%20from%20Shanghai%20to%20Kunming%20from%202026-10-02%20to%202026-10-07</x:v>
      </x:c>
      <x:c r="U64" s="136" t="n">
        <x:v>46302</x:v>
      </x:c>
      <x:c r="V64" s="90" t="str">
        <x:v>06:55</x:v>
      </x:c>
      <x:c r="W64" s="90" t="str">
        <x:v>昆明长水国际机场</x:v>
      </x:c>
      <x:c r="X64" s="137" t="n">
        <x:v>46302</x:v>
      </x:c>
      <x:c r="Y64" s="90" t="str">
        <x:v>09:50</x:v>
      </x:c>
      <x:c r="Z64" s="90" t="str">
        <x:v>上海浦东国际机场</x:v>
      </x:c>
      <x:c r="AA64" s="90" t="str">
        <x:v>东航</x:v>
      </x:c>
      <x:c r="AB64" s="90" t="n">
        <x:v>0</x:v>
      </x:c>
      <x:c r="AC64" s="90" t="str">
        <x:v>2 小时 55 分钟</x:v>
      </x:c>
      <x:c r="AD64" s="138"/>
      <x:c r="AE64" s="90" t="str">
        <x:v>当前返程列表无价格，采用排序第一条</x:v>
      </x:c>
      <x:c r="AF64" s="92" t="str">
        <x:v>https://www.google.com/travel/flights/search?tfs=CBwQAhpLEgoyMDI2LTEwLTAyIiAKA1BWRxIKMjAyNi0xMC0wMhoDS01HKgIzVTIEODIwNGoMCAISCC9tLzA2d2pmcg0IAhIJL20vMDFjMDZkGikSCjIwMjYtMTAtMDdqDQgCEgkvbS8wMWMwNmRyDAgCEggvbS8wNndqZkABSAFwAYIBCwj___________8BmAEB&amp;tfu=CmxDalJJVGxGb1IzSTNiM1ZaTUVsQlJXaGxhV2RDUnkwdExTMHRMUzB0TFhObGRYVXlNa0ZCUVVGQlIzRlpRekZaUzI5UFJITkJFZ1l6VlRneU1EUWFDZ2lvSnhBQUdnTkRUbGs0SEhEM3lBUT0SAggAIgA&amp;hl=zh-CN&amp;curr=CNY</x:v>
      </x:c>
    </x:row>
    <x:row r="65" ht="42" customHeight="1">
      <x:c r="A65" s="85" t="n">
        <x:f>ROW()-7</x:f>
        <x:v>58</x:v>
      </x:c>
      <x:c r="B65" s="86" t="n">
        <x:v>46296</x:v>
      </x:c>
      <x:c r="C65" s="86" t="n">
        <x:v>46303</x:v>
      </x:c>
      <x:c r="D65" s="87" t="n">
        <x:v>7</x:v>
      </x:c>
      <x:c r="E65" s="88" t="str">
        <x:v>东航</x:v>
      </x:c>
      <x:c r="F65" s="88" t="str">
        <x:v>17:30</x:v>
      </x:c>
      <x:c r="G65" s="88" t="str">
        <x:v>20:45</x:v>
      </x:c>
      <x:c r="H65" s="88" t="str">
        <x:v>上海虹桥国际机场</x:v>
      </x:c>
      <x:c r="I65" s="88" t="str">
        <x:v>昆明长水国际机场</x:v>
      </x:c>
      <x:c r="J65" s="88" t="n">
        <x:v>0</x:v>
      </x:c>
      <x:c r="K65" s="88" t="str">
        <x:v>—</x:v>
      </x:c>
      <x:c r="L65" s="88" t="str">
        <x:v>3 小时 15 分钟</x:v>
      </x:c>
      <x:c r="M65" s="89" t="n">
        <x:v>3852</x:v>
      </x:c>
      <x:c r="N65" s="89" t="n">
        <x:v>0</x:v>
      </x:c>
      <x:c r="O65" s="89" t="n">
        <x:f>M65+N65</x:f>
        <x:v>3852</x:v>
      </x:c>
      <x:c r="P65" s="88" t="str">
        <x:f>IF(O65&lt;5000,"是","否")</x:f>
        <x:v>是</x:v>
      </x:c>
      <x:c r="Q65" s="90" t="str">
        <x:v>国内经济舱通常含20kg；出票前须按实际票价等级复核</x:v>
      </x:c>
      <x:c r="R65" s="90" t="str">
        <x:v>该去程对应的最低可订返程组合；具体返程航班需打开来源链接确认</x:v>
      </x:c>
      <x:c r="S65" s="91" t="n">
        <x:v>46267.74517780093</x:v>
      </x:c>
      <x:c r="T65" s="92" t="str">
        <x:v>https://www.google.com/travel/flights?hl=zh-CN&amp;curr=CNY&amp;q=Flights%20from%20Shanghai%20to%20Kunming%20from%202026-10-01%20to%202026-10-08</x:v>
      </x:c>
      <x:c r="U65" s="136" t="n">
        <x:v>46303</x:v>
      </x:c>
      <x:c r="V65" s="90" t="str">
        <x:v>06:50</x:v>
      </x:c>
      <x:c r="W65" s="90" t="str">
        <x:v>昆明长水国际机场</x:v>
      </x:c>
      <x:c r="X65" s="137" t="n">
        <x:v>46303</x:v>
      </x:c>
      <x:c r="Y65" s="90" t="str">
        <x:v>14:15</x:v>
      </x:c>
      <x:c r="Z65" s="90" t="str">
        <x:v>上海虹桥国际机场</x:v>
      </x:c>
      <x:c r="AA65" s="90" t="str">
        <x:v>川航和东航</x:v>
      </x:c>
      <x:c r="AB65" s="90" t="n">
        <x:v>1</x:v>
      </x:c>
      <x:c r="AC65" s="90" t="str">
        <x:v>7 小时 25 分钟</x:v>
      </x:c>
      <x:c r="AD65" s="138"/>
      <x:c r="AE65" s="90" t="str">
        <x:v>当前返程列表无价格，采用排序第一条</x:v>
      </x:c>
      <x:c r="AF65" s="92" t="str">
        <x:v>https://www.google.com/travel/flights/search?tfs=CBwQAhpLEgoyMDI2LTEwLTAxIiAKA1NIQRIKMjAyNi0xMC0wMRoDS01HKgJNVTIENTgxMGoMCAISCC9tLzA2d2pmcg0IAhIJL20vMDFjMDZkGikSCjIwMjYtMTAtMDhqDQgCEgkvbS8wMWMwNmRyDAgCEggvbS8wNndqZkABSAFwAYIBCwj___________8BmAEB&amp;tfu=CmxDalJJT1hWcVIzUnVRa3BOUjAxQlJDMUlWM2RDUnkwdExTMHRMWE50ZEhneE5pMXVNa0ZCUVVGQlIzRlpRekZaU1dsVmVVZEJFZ1pOVlRVNE1UQWFDZ2lNSGhBQUdnTkRUbGs0SEhEaXZ3TT0SAggAIgMSATA&amp;hl=zh-CN&amp;curr=CNY</x:v>
      </x:c>
    </x:row>
    <x:row r="66" ht="42" customHeight="1">
      <x:c r="A66" s="85" t="n">
        <x:f>ROW()-7</x:f>
        <x:v>59</x:v>
      </x:c>
      <x:c r="B66" s="86" t="n">
        <x:v>46297</x:v>
      </x:c>
      <x:c r="C66" s="86" t="n">
        <x:v>46303</x:v>
      </x:c>
      <x:c r="D66" s="87" t="n">
        <x:v>6</x:v>
      </x:c>
      <x:c r="E66" s="88" t="str">
        <x:v>上航</x:v>
      </x:c>
      <x:c r="F66" s="88" t="str">
        <x:v>07:40</x:v>
      </x:c>
      <x:c r="G66" s="88" t="str">
        <x:v>11:00</x:v>
      </x:c>
      <x:c r="H66" s="88" t="str">
        <x:v>上海虹桥国际机场</x:v>
      </x:c>
      <x:c r="I66" s="88" t="str">
        <x:v>昆明长水国际机场</x:v>
      </x:c>
      <x:c r="J66" s="88" t="n">
        <x:v>0</x:v>
      </x:c>
      <x:c r="K66" s="88" t="str">
        <x:v>—</x:v>
      </x:c>
      <x:c r="L66" s="88" t="str">
        <x:v>3 小时 20 分钟</x:v>
      </x:c>
      <x:c r="M66" s="89" t="n">
        <x:v>3852</x:v>
      </x:c>
      <x:c r="N66" s="89" t="n">
        <x:v>0</x:v>
      </x:c>
      <x:c r="O66" s="89" t="n">
        <x:f>M66+N66</x:f>
        <x:v>3852</x:v>
      </x:c>
      <x:c r="P66" s="88" t="str">
        <x:f>IF(O66&lt;5000,"是","否")</x:f>
        <x:v>是</x:v>
      </x:c>
      <x:c r="Q66" s="90" t="str">
        <x:v>国内经济舱通常含20kg；出票前须按实际票价等级复核</x:v>
      </x:c>
      <x:c r="R66" s="90" t="str">
        <x:v>该去程对应的最低可订返程组合；具体返程航班需打开来源链接确认</x:v>
      </x:c>
      <x:c r="S66" s="91" t="n">
        <x:v>46267.74517780093</x:v>
      </x:c>
      <x:c r="T66" s="92" t="str">
        <x:v>https://www.google.com/travel/flights?hl=zh-CN&amp;curr=CNY&amp;q=Flights%20from%20Shanghai%20to%20Kunming%20from%202026-10-02%20to%202026-10-08</x:v>
      </x:c>
      <x:c r="U66" s="136" t="n">
        <x:v>46303</x:v>
      </x:c>
      <x:c r="V66" s="90" t="str">
        <x:v>06:55</x:v>
      </x:c>
      <x:c r="W66" s="90" t="str">
        <x:v>昆明长水国际机场</x:v>
      </x:c>
      <x:c r="X66" s="137" t="n">
        <x:v>46303</x:v>
      </x:c>
      <x:c r="Y66" s="90" t="str">
        <x:v>09:50</x:v>
      </x:c>
      <x:c r="Z66" s="90" t="str">
        <x:v>上海浦东国际机场</x:v>
      </x:c>
      <x:c r="AA66" s="90" t="str">
        <x:v>东航</x:v>
      </x:c>
      <x:c r="AB66" s="90" t="n">
        <x:v>0</x:v>
      </x:c>
      <x:c r="AC66" s="90" t="str">
        <x:v>2 小时 55 分钟</x:v>
      </x:c>
      <x:c r="AD66" s="138"/>
      <x:c r="AE66" s="90" t="str">
        <x:v>当前返程列表无价格，采用排序第一条</x:v>
      </x:c>
      <x:c r="AF66" s="92" t="str">
        <x:v>https://www.google.com/travel/flights/search?tfs=CBwQAhpLEgoyMDI2LTEwLTAyIiAKA1BWRxIKMjAyNi0xMC0wMhoDS01HKgIzVTIEODIwNGoMCAISCC9tLzA2d2pmcg0IAhIJL20vMDFjMDZkGikSCjIwMjYtMTAtMDhqDQgCEgkvbS8wMWMwNmRyDAgCEggvbS8wNndqZkABSAFwAYIBCwj___________8BmAEB&amp;tfu=CmxDalJJWkZWWlJYTm9WSE5zUkc5QlJVUTBTa0ZDUnkwdExTMHRMWE50WW1aM09TMXVNVUZCUVVGQlIzRlpRekZaU3psd09HVkJFZ1l6VlRneU1EUWFDZ2pmSEJBQUdnTkRUbGs0SEhEVXF3TT0SAggAIgA&amp;hl=zh-CN&amp;curr=CNY</x:v>
      </x:c>
    </x:row>
    <x:row r="67" ht="42" customHeight="1">
      <x:c r="A67" s="85" t="n">
        <x:f>ROW()-7</x:f>
        <x:v>60</x:v>
      </x:c>
      <x:c r="B67" s="86" t="n">
        <x:v>46296</x:v>
      </x:c>
      <x:c r="C67" s="86" t="n">
        <x:v>46300</x:v>
      </x:c>
      <x:c r="D67" s="87" t="n">
        <x:v>4</x:v>
      </x:c>
      <x:c r="E67" s="88" t="str">
        <x:v>东航</x:v>
      </x:c>
      <x:c r="F67" s="88" t="str">
        <x:v>21:40</x:v>
      </x:c>
      <x:c r="G67" s="88" t="str">
        <x:v>01:15 +1</x:v>
      </x:c>
      <x:c r="H67" s="88" t="str">
        <x:v>上海浦东国际机场</x:v>
      </x:c>
      <x:c r="I67" s="88" t="str">
        <x:v>昆明长水国际机场</x:v>
      </x:c>
      <x:c r="J67" s="88" t="n">
        <x:v>0</x:v>
      </x:c>
      <x:c r="K67" s="88" t="str">
        <x:v>—</x:v>
      </x:c>
      <x:c r="L67" s="88" t="str">
        <x:v>3 小时 35 分钟</x:v>
      </x:c>
      <x:c r="M67" s="89" t="n">
        <x:v>3863</x:v>
      </x:c>
      <x:c r="N67" s="89" t="n">
        <x:v>0</x:v>
      </x:c>
      <x:c r="O67" s="89" t="n">
        <x:f>M67+N67</x:f>
        <x:v>3863</x:v>
      </x:c>
      <x:c r="P67" s="88" t="str">
        <x:f>IF(O67&lt;5000,"是","否")</x:f>
        <x:v>是</x:v>
      </x:c>
      <x:c r="Q67" s="90" t="str">
        <x:v>国内经济舱通常含20kg；出票前须按实际票价等级复核</x:v>
      </x:c>
      <x:c r="R67" s="90" t="str">
        <x:v>该去程对应的最低可订返程组合；具体返程航班需打开来源链接确认</x:v>
      </x:c>
      <x:c r="S67" s="91" t="n">
        <x:v>46267.74517780093</x:v>
      </x:c>
      <x:c r="T67" s="92" t="str">
        <x:v>https://www.google.com/travel/flights?hl=zh-CN&amp;curr=CNY&amp;q=Flights%20from%20Shanghai%20to%20Kunming%20from%202026-10-01%20to%202026-10-05</x:v>
      </x:c>
      <x:c r="U67" s="136" t="n">
        <x:v>46300</x:v>
      </x:c>
      <x:c r="V67" s="90" t="str">
        <x:v>09:30</x:v>
      </x:c>
      <x:c r="W67" s="90" t="str">
        <x:v>昆明长水国际机场</x:v>
      </x:c>
      <x:c r="X67" s="137" t="n">
        <x:v>46300</x:v>
      </x:c>
      <x:c r="Y67" s="90" t="str">
        <x:v>12:45</x:v>
      </x:c>
      <x:c r="Z67" s="90" t="str">
        <x:v>上海浦东国际机场</x:v>
      </x:c>
      <x:c r="AA67" s="90" t="str">
        <x:v>东航</x:v>
      </x:c>
      <x:c r="AB67" s="90" t="n">
        <x:v>0</x:v>
      </x:c>
      <x:c r="AC67" s="90" t="str">
        <x:v>3 小时 15 分钟</x:v>
      </x:c>
      <x:c r="AD67" s="138" t="n">
        <x:v>3862</x:v>
      </x:c>
      <x:c r="AE67" s="90" t="str">
        <x:v>当前价格已变化，采用当前最低价返程</x:v>
      </x:c>
      <x:c r="AF67" s="92" t="str">
        <x:v>https://www.google.com/travel/flights/search?tfs=CBwQAhpLEgoyMDI2LTEwLTAxIiAKA1BWRxIKMjAyNi0xMC0wMRoDS01HKgJNVTIENTgyMmoMCAISCC9tLzA2d2pmcg0IAhIJL20vMDFjMDZkGikSCjIwMjYtMTAtMDVqDQgCEgkvbS8wMWMwNmRyDAgCEggvbS8wNndqZkABSAFwAYIBCwj___________8BmAEB&amp;tfu=CmxDalJJTjI1cVh5MTFabXBWVjI5QlJXazVUbmRDUnkwdExTMHRMWE5sZEc0eU5pMXVNVUZCUVVGQlIzRlpRekZaUzFKdGFrVkJFZ1pOVlRVNE1qSWFDZ2lXSGhBQUdnTkRUbGs0SEhEM3dBTT0SAggAIgA&amp;hl=zh-CN&amp;curr=CNY</x:v>
      </x:c>
    </x:row>
    <x:row r="68" ht="42" customHeight="1">
      <x:c r="A68" s="85" t="n">
        <x:f>ROW()-7</x:f>
        <x:v>61</x:v>
      </x:c>
      <x:c r="B68" s="86" t="n">
        <x:v>46297</x:v>
      </x:c>
      <x:c r="C68" s="86" t="n">
        <x:v>46301</x:v>
      </x:c>
      <x:c r="D68" s="87" t="n">
        <x:v>4</x:v>
      </x:c>
      <x:c r="E68" s="88" t="str">
        <x:v>春航</x:v>
      </x:c>
      <x:c r="F68" s="88" t="str">
        <x:v>07:45</x:v>
      </x:c>
      <x:c r="G68" s="88" t="str">
        <x:v>10:55</x:v>
      </x:c>
      <x:c r="H68" s="88" t="str">
        <x:v>上海虹桥国际机场</x:v>
      </x:c>
      <x:c r="I68" s="88" t="str">
        <x:v>昆明长水国际机场</x:v>
      </x:c>
      <x:c r="J68" s="88" t="n">
        <x:v>0</x:v>
      </x:c>
      <x:c r="K68" s="88" t="str">
        <x:v>—</x:v>
      </x:c>
      <x:c r="L68" s="88" t="str">
        <x:v>3 小时 10 分钟</x:v>
      </x:c>
      <x:c r="M68" s="89" t="n">
        <x:v>3520</x:v>
      </x:c>
      <x:c r="N68" s="89" t="n">
        <x:v>350</x:v>
      </x:c>
      <x:c r="O68" s="89" t="n">
        <x:f>M68+N68</x:f>
        <x:v>3870</x:v>
      </x:c>
      <x:c r="P68" s="88" t="str">
        <x:f>IF(O68&lt;5000,"是","否")</x:f>
        <x:v>是</x:v>
      </x:c>
      <x:c r="Q68" s="90" t="str">
        <x:v>春秋低价票可能不含托运；按国内往返20kg保守预留¥350</x:v>
      </x:c>
      <x:c r="R68" s="90" t="str">
        <x:v>该去程对应的最低可订返程组合；具体返程航班需打开来源链接确认</x:v>
      </x:c>
      <x:c r="S68" s="91" t="n">
        <x:v>46267.74517780093</x:v>
      </x:c>
      <x:c r="T68" s="92" t="str">
        <x:v>https://www.google.com/travel/flights?hl=zh-CN&amp;curr=CNY&amp;q=Flights%20from%20Shanghai%20to%20Kunming%20from%202026-10-02%20to%202026-10-06</x:v>
      </x:c>
      <x:c r="U68" s="136" t="n">
        <x:v>46301</x:v>
      </x:c>
      <x:c r="V68" s="90" t="str">
        <x:v>12:45</x:v>
      </x:c>
      <x:c r="W68" s="90" t="str">
        <x:v>昆明长水国际机场</x:v>
      </x:c>
      <x:c r="X68" s="137" t="n">
        <x:v>46301</x:v>
      </x:c>
      <x:c r="Y68" s="90" t="str">
        <x:v>16:00</x:v>
      </x:c>
      <x:c r="Z68" s="90" t="str">
        <x:v>上海虹桥国际机场</x:v>
      </x:c>
      <x:c r="AA68" s="90" t="str">
        <x:v>春航</x:v>
      </x:c>
      <x:c r="AB68" s="90" t="n">
        <x:v>0</x:v>
      </x:c>
      <x:c r="AC68" s="90" t="str">
        <x:v>3 小时 15 分钟</x:v>
      </x:c>
      <x:c r="AD68" s="138" t="n">
        <x:v>3520</x:v>
      </x:c>
      <x:c r="AE68" s="90" t="str">
        <x:v>匹配原始往返起价</x:v>
      </x:c>
      <x:c r="AF68" s="92" t="str">
        <x:v>https://www.google.com/travel/flights/search?tfs=CBwQAhpLEgoyMDI2LTEwLTAyIiAKA1NIQRIKMjAyNi0xMC0wMhoDS01HKgI5QzIEODk1M2oMCAISCC9tLzA2d2pmcg0IAhIJL20vMDFjMDZkGikSCjIwMjYtMTAtMDZqDQgCEgkvbS8wMWMwNmRyDAgCEggvbS8wNndqZkABSAFwAYIBCwj___________8BmAEB&amp;tfu=CmxDalJJYjBKcmNXbDVMVVZwVWtGQlJIUm1VbWRDUnkwdExTMHRMUzB0TFhOdGNHUXlNVUZCUVVGQlIzRlpRekYzVDFkWmVUSkJFZ1k1UXpnNU5UTWFDZ2pBR3hBQUdnTkRUbGs0SFhDV21RTT0SAggAIgMSATA&amp;hl=zh-CN&amp;curr=CNY</x:v>
      </x:c>
    </x:row>
    <x:row r="69" ht="42" customHeight="1">
      <x:c r="A69" s="85" t="n">
        <x:f>ROW()-7</x:f>
        <x:v>62</x:v>
      </x:c>
      <x:c r="B69" s="86" t="n">
        <x:v>46297</x:v>
      </x:c>
      <x:c r="C69" s="86" t="n">
        <x:v>46302</x:v>
      </x:c>
      <x:c r="D69" s="87" t="n">
        <x:v>5</x:v>
      </x:c>
      <x:c r="E69" s="88" t="str">
        <x:v>春航</x:v>
      </x:c>
      <x:c r="F69" s="88" t="str">
        <x:v>13:25</x:v>
      </x:c>
      <x:c r="G69" s="88" t="str">
        <x:v>18:15</x:v>
      </x:c>
      <x:c r="H69" s="88" t="str">
        <x:v>上海虹桥国际机场</x:v>
      </x:c>
      <x:c r="I69" s="88" t="str">
        <x:v>昆明长水国际机场</x:v>
      </x:c>
      <x:c r="J69" s="88" t="n">
        <x:v>0</x:v>
      </x:c>
      <x:c r="K69" s="88" t="str">
        <x:v>—</x:v>
      </x:c>
      <x:c r="L69" s="88" t="str">
        <x:v>4 小时 50 分钟</x:v>
      </x:c>
      <x:c r="M69" s="89" t="n">
        <x:v>3520</x:v>
      </x:c>
      <x:c r="N69" s="89" t="n">
        <x:v>350</x:v>
      </x:c>
      <x:c r="O69" s="89" t="n">
        <x:f>M69+N69</x:f>
        <x:v>3870</x:v>
      </x:c>
      <x:c r="P69" s="88" t="str">
        <x:f>IF(O69&lt;5000,"是","否")</x:f>
        <x:v>是</x:v>
      </x:c>
      <x:c r="Q69" s="90" t="str">
        <x:v>春秋低价票可能不含托运；按国内往返20kg保守预留¥350</x:v>
      </x:c>
      <x:c r="R69" s="90" t="str">
        <x:v>该去程对应的最低可订返程组合；具体返程航班需打开来源链接确认</x:v>
      </x:c>
      <x:c r="S69" s="91" t="n">
        <x:v>46267.74517780093</x:v>
      </x:c>
      <x:c r="T69" s="92" t="str">
        <x:v>https://www.google.com/travel/flights?hl=zh-CN&amp;curr=CNY&amp;q=Flights%20from%20Shanghai%20to%20Kunming%20from%202026-10-02%20to%202026-10-07</x:v>
      </x:c>
      <x:c r="U69" s="136" t="n">
        <x:v>46302</x:v>
      </x:c>
      <x:c r="V69" s="90" t="str">
        <x:v>19:20</x:v>
      </x:c>
      <x:c r="W69" s="90" t="str">
        <x:v>昆明长水国际机场</x:v>
      </x:c>
      <x:c r="X69" s="137" t="n">
        <x:v>46302</x:v>
      </x:c>
      <x:c r="Y69" s="90" t="str">
        <x:v>23:55</x:v>
      </x:c>
      <x:c r="Z69" s="90" t="str">
        <x:v>上海虹桥国际机场</x:v>
      </x:c>
      <x:c r="AA69" s="90" t="str">
        <x:v>春航</x:v>
      </x:c>
      <x:c r="AB69" s="90" t="n">
        <x:v>0</x:v>
      </x:c>
      <x:c r="AC69" s="90" t="str">
        <x:v>4 小时 35 分钟</x:v>
      </x:c>
      <x:c r="AD69" s="138" t="n">
        <x:v>3520</x:v>
      </x:c>
      <x:c r="AE69" s="90" t="str">
        <x:v>匹配原始往返起价</x:v>
      </x:c>
      <x:c r="AF69" s="92" t="str">
        <x:v>https://www.google.com/travel/flights/search?tfs=CBwQAhpLEgoyMDI2LTEwLTAyIiAKA1NIQRIKMjAyNi0xMC0wMhoDS01HKgI5QzIEODgyOWoMCAISCC9tLzA2d2pmcg0IAhIJL20vMDFjMDZkGikSCjIwMjYtMTAtMDdqDQgCEgkvbS8wMWMwNmRyDAgCEggvbS8wNndqZkABSAFwAYIBCwj___________8BmAEB&amp;tfu=CmxDalJJVGxGb1IzSTNiM1ZaTUVsQlJXaG9ZMUZDUnkwdExTMHRMUzB0TFhObGRYVXlNa0ZCUVVGQlIzRlpRekV3UlZkRlNrbEJFZ1k1UXpnNE1qa2FDZ2pBR3hBQUdnTkRUbGs0SFhDV21RTT0SAggAIgA&amp;hl=zh-CN&amp;curr=CNY</x:v>
      </x:c>
    </x:row>
    <x:row r="70" ht="42" customHeight="1">
      <x:c r="A70" s="85" t="n">
        <x:f>ROW()-7</x:f>
        <x:v>63</x:v>
      </x:c>
      <x:c r="B70" s="86" t="n">
        <x:v>46297</x:v>
      </x:c>
      <x:c r="C70" s="86" t="n">
        <x:v>46302</x:v>
      </x:c>
      <x:c r="D70" s="87" t="n">
        <x:v>5</x:v>
      </x:c>
      <x:c r="E70" s="88" t="str">
        <x:v>国航</x:v>
      </x:c>
      <x:c r="F70" s="88" t="str">
        <x:v>14:55</x:v>
      </x:c>
      <x:c r="G70" s="88" t="str">
        <x:v>18:35</x:v>
      </x:c>
      <x:c r="H70" s="88" t="str">
        <x:v>上海浦东国际机场</x:v>
      </x:c>
      <x:c r="I70" s="88" t="str">
        <x:v>昆明长水国际机场</x:v>
      </x:c>
      <x:c r="J70" s="88" t="n">
        <x:v>0</x:v>
      </x:c>
      <x:c r="K70" s="88" t="str">
        <x:v>—</x:v>
      </x:c>
      <x:c r="L70" s="88" t="str">
        <x:v>3 小时 40 分钟</x:v>
      </x:c>
      <x:c r="M70" s="89" t="n">
        <x:v>3937</x:v>
      </x:c>
      <x:c r="N70" s="89" t="n">
        <x:v>0</x:v>
      </x:c>
      <x:c r="O70" s="89" t="n">
        <x:f>M70+N70</x:f>
        <x:v>3937</x:v>
      </x:c>
      <x:c r="P70" s="88" t="str">
        <x:f>IF(O70&lt;5000,"是","否")</x:f>
        <x:v>是</x:v>
      </x:c>
      <x:c r="Q70" s="90" t="str">
        <x:v>国内经济舱通常含20kg；出票前须按实际票价等级复核</x:v>
      </x:c>
      <x:c r="R70" s="90" t="str">
        <x:v>该去程对应的最低可订返程组合；具体返程航班需打开来源链接确认</x:v>
      </x:c>
      <x:c r="S70" s="91" t="n">
        <x:v>46267.74517780093</x:v>
      </x:c>
      <x:c r="T70" s="92" t="str">
        <x:v>https://www.google.com/travel/flights?hl=zh-CN&amp;curr=CNY&amp;q=Flights%20from%20Shanghai%20to%20Kunming%20from%202026-10-02%20to%202026-10-07</x:v>
      </x:c>
      <x:c r="U70" s="136" t="n">
        <x:v>46302</x:v>
      </x:c>
      <x:c r="V70" s="90" t="str">
        <x:v>08:40</x:v>
      </x:c>
      <x:c r="W70" s="90" t="str">
        <x:v>昆明长水国际机场</x:v>
      </x:c>
      <x:c r="X70" s="137" t="n">
        <x:v>46302</x:v>
      </x:c>
      <x:c r="Y70" s="90" t="str">
        <x:v>12:00</x:v>
      </x:c>
      <x:c r="Z70" s="90" t="str">
        <x:v>上海浦东国际机场</x:v>
      </x:c>
      <x:c r="AA70" s="90" t="str">
        <x:v>国航</x:v>
      </x:c>
      <x:c r="AB70" s="90" t="n">
        <x:v>0</x:v>
      </x:c>
      <x:c r="AC70" s="90" t="str">
        <x:v>3 小时 20 分钟</x:v>
      </x:c>
      <x:c r="AD70" s="138" t="n">
        <x:v>3936</x:v>
      </x:c>
      <x:c r="AE70" s="90" t="str">
        <x:v>当前价格已变化，采用当前最低价返程</x:v>
      </x:c>
      <x:c r="AF70" s="92" t="str">
        <x:v>https://www.google.com/travel/flights/search?tfs=CBwQAhpLEgoyMDI2LTEwLTAyIiAKA1BWRxIKMjAyNi0xMC0wMhoDS01HKgJDQTIEODUzN2oMCAISCC9tLzA2d2pmcg0IAhIJL20vMDFjMDZkGikSCjIwMjYtMTAtMDdqDQgCEgkvbS8wMWMwNmRyDAgCEggvbS8wNndqZkABSAFwAYIBCwj___________8BmAEB&amp;tfu=CmxDalJJTlU5V1JHUmlTbE5GWkVsQlExb3hkSGRDUnkwdExTMHRMUzB0YzJWaVluRXlOa0ZCUVVGQlIzRlpRekU0UW5GeFR6WkJFZ1pEUVRnMU16Y2FDZ2pnSGhBQUdnTkRUbGs0SEhERXlRTT0SAggAIgA&amp;hl=zh-CN&amp;curr=CNY</x:v>
      </x:c>
    </x:row>
    <x:row r="71" ht="42" customHeight="1">
      <x:c r="A71" s="85" t="n">
        <x:f>ROW()-7</x:f>
        <x:v>64</x:v>
      </x:c>
      <x:c r="B71" s="86" t="n">
        <x:v>46297</x:v>
      </x:c>
      <x:c r="C71" s="86" t="n">
        <x:v>46301</x:v>
      </x:c>
      <x:c r="D71" s="87" t="n">
        <x:v>4</x:v>
      </x:c>
      <x:c r="E71" s="88" t="str">
        <x:v>春航</x:v>
      </x:c>
      <x:c r="F71" s="88" t="str">
        <x:v>10:35</x:v>
      </x:c>
      <x:c r="G71" s="88" t="str">
        <x:v>16:00</x:v>
      </x:c>
      <x:c r="H71" s="88" t="str">
        <x:v>上海浦东国际机场</x:v>
      </x:c>
      <x:c r="I71" s="88" t="str">
        <x:v>昆明长水国际机场</x:v>
      </x:c>
      <x:c r="J71" s="88" t="n">
        <x:v>0</x:v>
      </x:c>
      <x:c r="K71" s="88" t="str">
        <x:v>—</x:v>
      </x:c>
      <x:c r="L71" s="88" t="str">
        <x:v>5 小时 25 分钟</x:v>
      </x:c>
      <x:c r="M71" s="89" t="n">
        <x:v>3590</x:v>
      </x:c>
      <x:c r="N71" s="89" t="n">
        <x:v>350</x:v>
      </x:c>
      <x:c r="O71" s="89" t="n">
        <x:f>M71+N71</x:f>
        <x:v>3940</x:v>
      </x:c>
      <x:c r="P71" s="88" t="str">
        <x:f>IF(O71&lt;5000,"是","否")</x:f>
        <x:v>是</x:v>
      </x:c>
      <x:c r="Q71" s="90" t="str">
        <x:v>春秋低价票可能不含托运；按国内往返20kg保守预留¥350</x:v>
      </x:c>
      <x:c r="R71" s="90" t="str">
        <x:v>该去程对应的最低可订返程组合；具体返程航班需打开来源链接确认</x:v>
      </x:c>
      <x:c r="S71" s="91" t="n">
        <x:v>46267.74517780093</x:v>
      </x:c>
      <x:c r="T71" s="92" t="str">
        <x:v>https://www.google.com/travel/flights?hl=zh-CN&amp;curr=CNY&amp;q=Flights%20from%20Shanghai%20to%20Kunming%20from%202026-10-02%20to%202026-10-06</x:v>
      </x:c>
      <x:c r="U71" s="136" t="n">
        <x:v>46301</x:v>
      </x:c>
      <x:c r="V71" s="90" t="str">
        <x:v>12:15</x:v>
      </x:c>
      <x:c r="W71" s="90" t="str">
        <x:v>昆明长水国际机场</x:v>
      </x:c>
      <x:c r="X71" s="137" t="n">
        <x:v>46301</x:v>
      </x:c>
      <x:c r="Y71" s="90" t="str">
        <x:v>15:30</x:v>
      </x:c>
      <x:c r="Z71" s="90" t="str">
        <x:v>上海浦东国际机场</x:v>
      </x:c>
      <x:c r="AA71" s="90" t="str">
        <x:v>南航</x:v>
      </x:c>
      <x:c r="AB71" s="90" t="n">
        <x:v>0</x:v>
      </x:c>
      <x:c r="AC71" s="90" t="str">
        <x:v>3 小时 15 分钟</x:v>
      </x:c>
      <x:c r="AD71" s="138" t="n">
        <x:v>3590</x:v>
      </x:c>
      <x:c r="AE71" s="90" t="str">
        <x:v>匹配原始往返起价</x:v>
      </x:c>
      <x:c r="AF71" s="92" t="str">
        <x:v>https://www.google.com/travel/flights/search?tfs=CBwQAhpLEgoyMDI2LTEwLTAyIiAKA1BWRxIKMjAyNi0xMC0wMhoDS01HKgI5QzIENjQ1NWoMCAISCC9tLzA2d2pmcg0IAhIJL20vMDFjMDZkGikSCjIwMjYtMTAtMDZqDQgCEgkvbS8wMWMwNmRyDAgCEggvbS8wNndqZkABSAFwAYIBCwj___________8BmAEB&amp;tfu=CmxDalJJYTBKcFduQjNPRU4zUjFGQlJYRjJZMEZDUnkwdExTMHRMWE5sY0dReE1TMXVNVUZCUVVGQlIzRlpRekU0U0ZsbFExbEJFZ1k1UXpZME5UVWFDZ2lHSEJBQUdnTkRUbGs0SEhDb29RTT0SAggAIgA&amp;hl=zh-CN&amp;curr=CNY</x:v>
      </x:c>
    </x:row>
    <x:row r="72" ht="42" customHeight="1">
      <x:c r="A72" s="85" t="n">
        <x:f>ROW()-7</x:f>
        <x:v>65</x:v>
      </x:c>
      <x:c r="B72" s="86" t="n">
        <x:v>46297</x:v>
      </x:c>
      <x:c r="C72" s="86" t="n">
        <x:v>46303</x:v>
      </x:c>
      <x:c r="D72" s="87" t="n">
        <x:v>6</x:v>
      </x:c>
      <x:c r="E72" s="88" t="str">
        <x:v>春航</x:v>
      </x:c>
      <x:c r="F72" s="88" t="str">
        <x:v>10:35</x:v>
      </x:c>
      <x:c r="G72" s="88" t="str">
        <x:v>16:00</x:v>
      </x:c>
      <x:c r="H72" s="88" t="str">
        <x:v>上海浦东国际机场</x:v>
      </x:c>
      <x:c r="I72" s="88" t="str">
        <x:v>昆明长水国际机场</x:v>
      </x:c>
      <x:c r="J72" s="88" t="n">
        <x:v>0</x:v>
      </x:c>
      <x:c r="K72" s="88" t="str">
        <x:v>—</x:v>
      </x:c>
      <x:c r="L72" s="88" t="str">
        <x:v>5 小时 25 分钟</x:v>
      </x:c>
      <x:c r="M72" s="89" t="n">
        <x:v>3590</x:v>
      </x:c>
      <x:c r="N72" s="89" t="n">
        <x:v>350</x:v>
      </x:c>
      <x:c r="O72" s="89" t="n">
        <x:f>M72+N72</x:f>
        <x:v>3940</x:v>
      </x:c>
      <x:c r="P72" s="88" t="str">
        <x:f>IF(O72&lt;5000,"是","否")</x:f>
        <x:v>是</x:v>
      </x:c>
      <x:c r="Q72" s="90" t="str">
        <x:v>春秋低价票可能不含托运；按国内往返20kg保守预留¥350</x:v>
      </x:c>
      <x:c r="R72" s="90" t="str">
        <x:v>该去程对应的最低可订返程组合；具体返程航班需打开来源链接确认</x:v>
      </x:c>
      <x:c r="S72" s="91" t="n">
        <x:v>46267.74517780093</x:v>
      </x:c>
      <x:c r="T72" s="92" t="str">
        <x:v>https://www.google.com/travel/flights?hl=zh-CN&amp;curr=CNY&amp;q=Flights%20from%20Shanghai%20to%20Kunming%20from%202026-10-02%20to%202026-10-08</x:v>
      </x:c>
      <x:c r="U72" s="136" t="n">
        <x:v>46303</x:v>
      </x:c>
      <x:c r="V72" s="90" t="str">
        <x:v>12:15</x:v>
      </x:c>
      <x:c r="W72" s="90" t="str">
        <x:v>昆明长水国际机场</x:v>
      </x:c>
      <x:c r="X72" s="137" t="n">
        <x:v>46303</x:v>
      </x:c>
      <x:c r="Y72" s="90" t="str">
        <x:v>15:30</x:v>
      </x:c>
      <x:c r="Z72" s="90" t="str">
        <x:v>上海浦东国际机场</x:v>
      </x:c>
      <x:c r="AA72" s="90" t="str">
        <x:v>南航</x:v>
      </x:c>
      <x:c r="AB72" s="90" t="n">
        <x:v>0</x:v>
      </x:c>
      <x:c r="AC72" s="90" t="str">
        <x:v>3 小时 15 分钟</x:v>
      </x:c>
      <x:c r="AD72" s="138" t="n">
        <x:v>3590</x:v>
      </x:c>
      <x:c r="AE72" s="90" t="str">
        <x:v>匹配原始往返起价</x:v>
      </x:c>
      <x:c r="AF72" s="92" t="str">
        <x:v>https://www.google.com/travel/flights/search?tfs=CBwQAhpLEgoyMDI2LTEwLTAyIiAKA1BWRxIKMjAyNi0xMC0wMhoDS01HKgI5QzIENjQ1NWoMCAISCC9tLzA2d2pmcg0IAhIJL20vMDFjMDZkGikSCjIwMjYtMTAtMDhqDQgCEgkvbS8wMWMwNmRyDAgCEggvbS8wNndqZkABSAFwAYIBCwj___________8BmAEB&amp;tfu=CmxDalJJY2pKUlRVOUphVk5QUmxsQlJIUk5NRkZDUnkwdExTMHRMUzB0TFMxemJXRXhNMEZCUVVGQlIzRlpRekpqU1dSUmRqQkJFZ1k1UXpZME5UVWFDZ2lHSEJBQUdnTkRUbGs0SEhDb29RTT0SAggAIgA&amp;hl=zh-CN&amp;curr=CNY</x:v>
      </x:c>
    </x:row>
    <x:row r="73" ht="42" customHeight="1">
      <x:c r="A73" s="85" t="n">
        <x:f>ROW()-7</x:f>
        <x:v>66</x:v>
      </x:c>
      <x:c r="B73" s="86" t="n">
        <x:v>46297</x:v>
      </x:c>
      <x:c r="C73" s="86" t="n">
        <x:v>46302</x:v>
      </x:c>
      <x:c r="D73" s="87" t="n">
        <x:v>5</x:v>
      </x:c>
      <x:c r="E73" s="88" t="str">
        <x:v>国航</x:v>
      </x:c>
      <x:c r="F73" s="88" t="str">
        <x:v>19:15</x:v>
      </x:c>
      <x:c r="G73" s="88" t="str">
        <x:v>22:50</x:v>
      </x:c>
      <x:c r="H73" s="88" t="str">
        <x:v>上海浦东国际机场</x:v>
      </x:c>
      <x:c r="I73" s="88" t="str">
        <x:v>昆明长水国际机场</x:v>
      </x:c>
      <x:c r="J73" s="88" t="n">
        <x:v>0</x:v>
      </x:c>
      <x:c r="K73" s="88" t="str">
        <x:v>—</x:v>
      </x:c>
      <x:c r="L73" s="88" t="str">
        <x:v>3 小时 35 分钟</x:v>
      </x:c>
      <x:c r="M73" s="89" t="n">
        <x:v>3958</x:v>
      </x:c>
      <x:c r="N73" s="89" t="n">
        <x:v>0</x:v>
      </x:c>
      <x:c r="O73" s="89" t="n">
        <x:f>M73+N73</x:f>
        <x:v>3958</x:v>
      </x:c>
      <x:c r="P73" s="88" t="str">
        <x:f>IF(O73&lt;5000,"是","否")</x:f>
        <x:v>是</x:v>
      </x:c>
      <x:c r="Q73" s="90" t="str">
        <x:v>国内经济舱通常含20kg；出票前须按实际票价等级复核</x:v>
      </x:c>
      <x:c r="R73" s="90" t="str">
        <x:v>该去程对应的最低可订返程组合；具体返程航班需打开来源链接确认</x:v>
      </x:c>
      <x:c r="S73" s="91" t="n">
        <x:v>46267.74517780093</x:v>
      </x:c>
      <x:c r="T73" s="92" t="str">
        <x:v>https://www.google.com/travel/flights?hl=zh-CN&amp;curr=CNY&amp;q=Flights%20from%20Shanghai%20to%20Kunming%20from%202026-10-02%20to%202026-10-07</x:v>
      </x:c>
      <x:c r="U73" s="136" t="n">
        <x:v>46302</x:v>
      </x:c>
      <x:c r="V73" s="90" t="str">
        <x:v>08:40</x:v>
      </x:c>
      <x:c r="W73" s="90" t="str">
        <x:v>昆明长水国际机场</x:v>
      </x:c>
      <x:c r="X73" s="137" t="n">
        <x:v>46302</x:v>
      </x:c>
      <x:c r="Y73" s="90" t="str">
        <x:v>12:00</x:v>
      </x:c>
      <x:c r="Z73" s="90" t="str">
        <x:v>上海浦东国际机场</x:v>
      </x:c>
      <x:c r="AA73" s="90" t="str">
        <x:v>昆航</x:v>
      </x:c>
      <x:c r="AB73" s="90" t="n">
        <x:v>0</x:v>
      </x:c>
      <x:c r="AC73" s="90" t="str">
        <x:v>3 小时 20 分钟</x:v>
      </x:c>
      <x:c r="AD73" s="138"/>
      <x:c r="AE73" s="90" t="str">
        <x:v>当前返程列表无价格，采用排序第一条</x:v>
      </x:c>
      <x:c r="AF73" s="92" t="str">
        <x:v>https://www.google.com/travel/flights/search?tfs=CBwQAhpLEgoyMDI2LTEwLTAyIiAKA1BWRxIKMjAyNi0xMC0wMhoDS01HKgJLWTIEODIyMmoMCAISCC9tLzA2d2pmcg0IAhIJL20vMDFjMDZkGikSCjIwMjYtMTAtMDdqDQgCEgkvbS8wMWMwNmRyDAgCEggvbS8wNndqZkABSAFwAYIBCwj___________8BmAEB&amp;tfu=ClhDalJJYTBKcFduQjNPRU4zUjFGQlJYazNiR2RDUnkwdExTMHRMWE5sY0dReE1TMXVNVUZCUVVGQlIzRlpSVXN3U1VGTVZFRkJFZ1pMV1RneU1qSTRIUT09EgIIACIA&amp;hl=zh-CN&amp;curr=CNY</x:v>
      </x:c>
    </x:row>
    <x:row r="74" ht="42" customHeight="1">
      <x:c r="A74" s="85" t="n">
        <x:f>ROW()-7</x:f>
        <x:v>67</x:v>
      </x:c>
      <x:c r="B74" s="86" t="n">
        <x:v>46296</x:v>
      </x:c>
      <x:c r="C74" s="86" t="n">
        <x:v>46303</x:v>
      </x:c>
      <x:c r="D74" s="87" t="n">
        <x:v>7</x:v>
      </x:c>
      <x:c r="E74" s="88" t="str">
        <x:v>春航</x:v>
      </x:c>
      <x:c r="F74" s="88" t="str">
        <x:v>07:55</x:v>
      </x:c>
      <x:c r="G74" s="88" t="str">
        <x:v>11:20</x:v>
      </x:c>
      <x:c r="H74" s="88" t="str">
        <x:v>上海虹桥国际机场</x:v>
      </x:c>
      <x:c r="I74" s="88" t="str">
        <x:v>昆明长水国际机场</x:v>
      </x:c>
      <x:c r="J74" s="88" t="n">
        <x:v>0</x:v>
      </x:c>
      <x:c r="K74" s="88" t="str">
        <x:v>—</x:v>
      </x:c>
      <x:c r="L74" s="88" t="str">
        <x:v>3 小时 25 分钟</x:v>
      </x:c>
      <x:c r="M74" s="89" t="n">
        <x:v>3660</x:v>
      </x:c>
      <x:c r="N74" s="89" t="n">
        <x:v>350</x:v>
      </x:c>
      <x:c r="O74" s="89" t="n">
        <x:f>M74+N74</x:f>
        <x:v>4010</x:v>
      </x:c>
      <x:c r="P74" s="88" t="str">
        <x:f>IF(O74&lt;5000,"是","否")</x:f>
        <x:v>是</x:v>
      </x:c>
      <x:c r="Q74" s="90" t="str">
        <x:v>春秋低价票可能不含托运；按国内往返20kg保守预留¥350</x:v>
      </x:c>
      <x:c r="R74" s="90" t="str">
        <x:v>该去程对应的最低可订返程组合；具体返程航班需打开来源链接确认</x:v>
      </x:c>
      <x:c r="S74" s="91" t="n">
        <x:v>46267.74517780093</x:v>
      </x:c>
      <x:c r="T74" s="92" t="str">
        <x:v>https://www.google.com/travel/flights?hl=zh-CN&amp;curr=CNY&amp;q=Flights%20from%20Shanghai%20to%20Kunming%20from%202026-10-01%20to%202026-10-08</x:v>
      </x:c>
      <x:c r="U74" s="136" t="n">
        <x:v>46303</x:v>
      </x:c>
      <x:c r="V74" s="90" t="str">
        <x:v>19:20</x:v>
      </x:c>
      <x:c r="W74" s="90" t="str">
        <x:v>昆明长水国际机场</x:v>
      </x:c>
      <x:c r="X74" s="137" t="n">
        <x:v>46303</x:v>
      </x:c>
      <x:c r="Y74" s="90" t="str">
        <x:v>23:55</x:v>
      </x:c>
      <x:c r="Z74" s="90" t="str">
        <x:v>上海虹桥国际机场</x:v>
      </x:c>
      <x:c r="AA74" s="90" t="str">
        <x:v>春航</x:v>
      </x:c>
      <x:c r="AB74" s="90" t="n">
        <x:v>0</x:v>
      </x:c>
      <x:c r="AC74" s="90" t="str">
        <x:v>4 小时 35 分钟</x:v>
      </x:c>
      <x:c r="AD74" s="138" t="n">
        <x:v>3660</x:v>
      </x:c>
      <x:c r="AE74" s="90" t="str">
        <x:v>匹配原始往返起价</x:v>
      </x:c>
      <x:c r="AF74" s="92" t="str">
        <x:v>https://www.google.com/travel/flights/search?tfs=CBwQAhpLEgoyMDI2LTEwLTAxIiAKA1NIQRIKMjAyNi0xMC0wMRoDS01HKgI5QzIEODk1M2oMCAISCC9tLzA2d2pmcg0IAhIJL20vMDFjMDZkGikSCjIwMjYtMTAtMDhqDQgCEgkvbS8wMWMwNmRyDAgCEggvbS8wNndqZkABSAFwAYIBCwj___________8BmAEB&amp;tfu=CmxDalJJYTBKcFduQjNPRU4zUjFGQlJYRjVjbEZDUnkwdExTMHRMWE5sY0dReE1TMXVNVUZCUVVGQlIzRlpRekpqU0c4NFRFOUJFZ1k1UXpnNU5UTWFDZ2pNSEJBQUdnTkRUbGs0SEhDNXFRTT0SAggAIgMSATA&amp;hl=zh-CN&amp;curr=CNY</x:v>
      </x:c>
    </x:row>
    <x:row r="75" ht="42" customHeight="1">
      <x:c r="A75" s="85" t="n">
        <x:f>ROW()-7</x:f>
        <x:v>68</x:v>
      </x:c>
      <x:c r="B75" s="86" t="n">
        <x:v>46297</x:v>
      </x:c>
      <x:c r="C75" s="86" t="n">
        <x:v>46302</x:v>
      </x:c>
      <x:c r="D75" s="87" t="n">
        <x:v>5</x:v>
      </x:c>
      <x:c r="E75" s="88" t="str">
        <x:v>春航</x:v>
      </x:c>
      <x:c r="F75" s="88" t="str">
        <x:v>07:45</x:v>
      </x:c>
      <x:c r="G75" s="88" t="str">
        <x:v>10:55</x:v>
      </x:c>
      <x:c r="H75" s="88" t="str">
        <x:v>上海虹桥国际机场</x:v>
      </x:c>
      <x:c r="I75" s="88" t="str">
        <x:v>昆明长水国际机场</x:v>
      </x:c>
      <x:c r="J75" s="88" t="n">
        <x:v>0</x:v>
      </x:c>
      <x:c r="K75" s="88" t="str">
        <x:v>—</x:v>
      </x:c>
      <x:c r="L75" s="88" t="str">
        <x:v>3 小时 10 分钟</x:v>
      </x:c>
      <x:c r="M75" s="89" t="n">
        <x:v>3660</x:v>
      </x:c>
      <x:c r="N75" s="89" t="n">
        <x:v>350</x:v>
      </x:c>
      <x:c r="O75" s="89" t="n">
        <x:f>M75+N75</x:f>
        <x:v>4010</x:v>
      </x:c>
      <x:c r="P75" s="88" t="str">
        <x:f>IF(O75&lt;5000,"是","否")</x:f>
        <x:v>是</x:v>
      </x:c>
      <x:c r="Q75" s="90" t="str">
        <x:v>春秋低价票可能不含托运；按国内往返20kg保守预留¥350</x:v>
      </x:c>
      <x:c r="R75" s="90" t="str">
        <x:v>该去程对应的最低可订返程组合；具体返程航班需打开来源链接确认</x:v>
      </x:c>
      <x:c r="S75" s="91" t="n">
        <x:v>46267.74517780093</x:v>
      </x:c>
      <x:c r="T75" s="92" t="str">
        <x:v>https://www.google.com/travel/flights?hl=zh-CN&amp;curr=CNY&amp;q=Flights%20from%20Shanghai%20to%20Kunming%20from%202026-10-02%20to%202026-10-07</x:v>
      </x:c>
      <x:c r="U75" s="136" t="n">
        <x:v>46302</x:v>
      </x:c>
      <x:c r="V75" s="90" t="str">
        <x:v>19:20</x:v>
      </x:c>
      <x:c r="W75" s="90" t="str">
        <x:v>昆明长水国际机场</x:v>
      </x:c>
      <x:c r="X75" s="137" t="n">
        <x:v>46302</x:v>
      </x:c>
      <x:c r="Y75" s="90" t="str">
        <x:v>23:55</x:v>
      </x:c>
      <x:c r="Z75" s="90" t="str">
        <x:v>上海虹桥国际机场</x:v>
      </x:c>
      <x:c r="AA75" s="90" t="str">
        <x:v>春航</x:v>
      </x:c>
      <x:c r="AB75" s="90" t="n">
        <x:v>0</x:v>
      </x:c>
      <x:c r="AC75" s="90" t="str">
        <x:v>4 小时 35 分钟</x:v>
      </x:c>
      <x:c r="AD75" s="138" t="n">
        <x:v>3660</x:v>
      </x:c>
      <x:c r="AE75" s="90" t="str">
        <x:v>匹配原始往返起价</x:v>
      </x:c>
      <x:c r="AF75" s="92" t="str">
        <x:v>https://www.google.com/travel/flights/search?tfs=CBwQAhpLEgoyMDI2LTEwLTAyIiAKA1NIQRIKMjAyNi0xMC0wMhoDS01HKgI5QzIEODk1M2oMCAISCC9tLzA2d2pmcg0IAhIJL20vMDFjMDZkGikSCjIwMjYtMTAtMDdqDQgCEgkvbS8wMWMwNmRyDAgCEggvbS8wNndqZkABSAFwAYIBCwj___________8BmAEB&amp;tfu=CmxDalJJUlROeFMwUnNXWFJRZEUxQlJWUjNVMEZDUnkwdExTMHRMWE50Y0hReE5DMXVNVUZCUVVGQlIzRlpRekk0UzJoMGNsRkJFZ1k1UXpnNU5UTWFDZ2pNSEJBQUdnTkRUbGs0SEhDNXFRTT0SAggAIgMSATA&amp;hl=zh-CN&amp;curr=CNY</x:v>
      </x:c>
    </x:row>
    <x:row r="76" ht="42" customHeight="1">
      <x:c r="A76" s="85" t="n">
        <x:f>ROW()-7</x:f>
        <x:v>69</x:v>
      </x:c>
      <x:c r="B76" s="86" t="n">
        <x:v>46296</x:v>
      </x:c>
      <x:c r="C76" s="86" t="n">
        <x:v>46300</x:v>
      </x:c>
      <x:c r="D76" s="87" t="n">
        <x:v>4</x:v>
      </x:c>
      <x:c r="E76" s="88" t="str">
        <x:v>南航</x:v>
      </x:c>
      <x:c r="F76" s="88" t="str">
        <x:v>07:40</x:v>
      </x:c>
      <x:c r="G76" s="88" t="str">
        <x:v>11:10</x:v>
      </x:c>
      <x:c r="H76" s="88" t="str">
        <x:v>上海浦东国际机场</x:v>
      </x:c>
      <x:c r="I76" s="88" t="str">
        <x:v>昆明长水国际机场</x:v>
      </x:c>
      <x:c r="J76" s="88" t="n">
        <x:v>0</x:v>
      </x:c>
      <x:c r="K76" s="88" t="str">
        <x:v>—</x:v>
      </x:c>
      <x:c r="L76" s="88" t="str">
        <x:v>3 小时 30 分钟</x:v>
      </x:c>
      <x:c r="M76" s="89" t="n">
        <x:v>4010</x:v>
      </x:c>
      <x:c r="N76" s="89" t="n">
        <x:v>0</x:v>
      </x:c>
      <x:c r="O76" s="89" t="n">
        <x:f>M76+N76</x:f>
        <x:v>4010</x:v>
      </x:c>
      <x:c r="P76" s="88" t="str">
        <x:f>IF(O76&lt;5000,"是","否")</x:f>
        <x:v>是</x:v>
      </x:c>
      <x:c r="Q76" s="90" t="str">
        <x:v>国内经济舱通常含20kg；出票前须按实际票价等级复核</x:v>
      </x:c>
      <x:c r="R76" s="90" t="str">
        <x:v>该去程对应的最低可订返程组合；具体返程航班需打开来源链接确认</x:v>
      </x:c>
      <x:c r="S76" s="91" t="n">
        <x:v>46267.74517780093</x:v>
      </x:c>
      <x:c r="T76" s="92" t="str">
        <x:v>https://www.google.com/travel/flights?hl=zh-CN&amp;curr=CNY&amp;q=Flights%20from%20Shanghai%20to%20Kunming%20from%202026-10-01%20to%202026-10-05</x:v>
      </x:c>
      <x:c r="U76" s="136" t="n">
        <x:v>46300</x:v>
      </x:c>
      <x:c r="V76" s="90" t="str">
        <x:v>17:05</x:v>
      </x:c>
      <x:c r="W76" s="90" t="str">
        <x:v>昆明长水国际机场</x:v>
      </x:c>
      <x:c r="X76" s="137" t="n">
        <x:v>46300</x:v>
      </x:c>
      <x:c r="Y76" s="90" t="str">
        <x:v>21:45</x:v>
      </x:c>
      <x:c r="Z76" s="90" t="str">
        <x:v>上海浦东国际机场</x:v>
      </x:c>
      <x:c r="AA76" s="90" t="str">
        <x:v>春航</x:v>
      </x:c>
      <x:c r="AB76" s="90" t="n">
        <x:v>0</x:v>
      </x:c>
      <x:c r="AC76" s="90" t="str">
        <x:v>4 小时 40 分钟</x:v>
      </x:c>
      <x:c r="AD76" s="138" t="n">
        <x:v>4010</x:v>
      </x:c>
      <x:c r="AE76" s="90" t="str">
        <x:v>匹配原始往返起价</x:v>
      </x:c>
      <x:c r="AF76" s="92" t="str">
        <x:v>https://www.google.com/travel/flights/search?tfs=CBwQAhpLEgoyMDI2LTEwLTAxIiAKA1BWRxIKMjAyNi0xMC0wMRoDS01HKgJDWjIEMzY3N2oMCAISCC9tLzA2d2pmcg0IAhIJL20vMDFjMDZkGikSCjIwMjYtMTAtMDVqDQgCEgkvbS8wMWMwNmRyDAgCEggvbS8wNndqZkABSAFwAYIBCwj___________8BmAEB&amp;tfu=CmxDalJJZEU5VWJEQndRbVpTWVhkQlIyRkNVM2RDUnkwdExTMHRMUzB0YzJWaVozSXpNMEZCUVVGQlIzRlpRekpqU0ZGSU5ubEJFZ1pEV2pNMk56Y2FDZ2lxSHhBQUdnTkRUbGs0SEhDUjBnTT0SAggAIgA&amp;hl=zh-CN&amp;curr=CNY</x:v>
      </x:c>
    </x:row>
    <x:row r="77" ht="42" customHeight="1">
      <x:c r="A77" s="85" t="n">
        <x:f>ROW()-7</x:f>
        <x:v>70</x:v>
      </x:c>
      <x:c r="B77" s="86" t="n">
        <x:v>46296</x:v>
      </x:c>
      <x:c r="C77" s="86" t="n">
        <x:v>46300</x:v>
      </x:c>
      <x:c r="D77" s="87" t="n">
        <x:v>4</x:v>
      </x:c>
      <x:c r="E77" s="88" t="str">
        <x:v>南航</x:v>
      </x:c>
      <x:c r="F77" s="88" t="str">
        <x:v>14:50</x:v>
      </x:c>
      <x:c r="G77" s="88" t="str">
        <x:v>18:20</x:v>
      </x:c>
      <x:c r="H77" s="88" t="str">
        <x:v>上海浦东国际机场</x:v>
      </x:c>
      <x:c r="I77" s="88" t="str">
        <x:v>昆明长水国际机场</x:v>
      </x:c>
      <x:c r="J77" s="88" t="n">
        <x:v>0</x:v>
      </x:c>
      <x:c r="K77" s="88" t="str">
        <x:v>—</x:v>
      </x:c>
      <x:c r="L77" s="88" t="str">
        <x:v>3 小时 30 分钟</x:v>
      </x:c>
      <x:c r="M77" s="89" t="n">
        <x:v>4010</x:v>
      </x:c>
      <x:c r="N77" s="89" t="n">
        <x:v>0</x:v>
      </x:c>
      <x:c r="O77" s="89" t="n">
        <x:f>M77+N77</x:f>
        <x:v>4010</x:v>
      </x:c>
      <x:c r="P77" s="88" t="str">
        <x:f>IF(O77&lt;5000,"是","否")</x:f>
        <x:v>是</x:v>
      </x:c>
      <x:c r="Q77" s="90" t="str">
        <x:v>国内经济舱通常含20kg；出票前须按实际票价等级复核</x:v>
      </x:c>
      <x:c r="R77" s="90" t="str">
        <x:v>该去程对应的最低可订返程组合；具体返程航班需打开来源链接确认</x:v>
      </x:c>
      <x:c r="S77" s="91" t="n">
        <x:v>46267.74517780093</x:v>
      </x:c>
      <x:c r="T77" s="92" t="str">
        <x:v>https://www.google.com/travel/flights?hl=zh-CN&amp;curr=CNY&amp;q=Flights%20from%20Shanghai%20to%20Kunming%20from%202026-10-01%20to%202026-10-05</x:v>
      </x:c>
      <x:c r="U77" s="136" t="n">
        <x:v>46300</x:v>
      </x:c>
      <x:c r="V77" s="90" t="str">
        <x:v>17:05</x:v>
      </x:c>
      <x:c r="W77" s="90" t="str">
        <x:v>昆明长水国际机场</x:v>
      </x:c>
      <x:c r="X77" s="137" t="n">
        <x:v>46300</x:v>
      </x:c>
      <x:c r="Y77" s="90" t="str">
        <x:v>21:45</x:v>
      </x:c>
      <x:c r="Z77" s="90" t="str">
        <x:v>上海浦东国际机场</x:v>
      </x:c>
      <x:c r="AA77" s="90" t="str">
        <x:v>春航</x:v>
      </x:c>
      <x:c r="AB77" s="90" t="n">
        <x:v>0</x:v>
      </x:c>
      <x:c r="AC77" s="90" t="str">
        <x:v>4 小时 40 分钟</x:v>
      </x:c>
      <x:c r="AD77" s="138" t="n">
        <x:v>4010</x:v>
      </x:c>
      <x:c r="AE77" s="90" t="str">
        <x:v>匹配原始往返起价</x:v>
      </x:c>
      <x:c r="AF77" s="92" t="str">
        <x:v>https://www.google.com/travel/flights/search?tfs=CBwQAhpLEgoyMDI2LTEwLTAxIiAKA1BWRxIKMjAyNi0xMC0wMRoDS01HKgJDWjIEODc1NWoMCAISCC9tLzA2d2pmcg0IAhIJL20vMDFjMDZkGikSCjIwMjYtMTAtMDVqDQgCEgkvbS8wMWMwNmRyDAgCEggvbS8wNndqZkABSAFwAYIBCwj___________8BmAEB&amp;tfu=CmxDalJJTFhrM016ZFNRVGg0ZUZGQlJXMDJZM2RDUnkwdExTMHRMUzF6WldKdU15MXVNa0ZCUVVGQlIzRlpRekk0UzFSVFJqUkJFZ1pEV2pnM05UVWFDZ2lxSHhBQUdnTkRUbGs0SEhDUjBnTT0SAggAIgA&amp;hl=zh-CN&amp;curr=CNY</x:v>
      </x:c>
    </x:row>
    <x:row r="78" ht="42" customHeight="1">
      <x:c r="A78" s="85" t="n">
        <x:f>ROW()-7</x:f>
        <x:v>71</x:v>
      </x:c>
      <x:c r="B78" s="86" t="n">
        <x:v>46296</x:v>
      </x:c>
      <x:c r="C78" s="86" t="n">
        <x:v>46301</x:v>
      </x:c>
      <x:c r="D78" s="87" t="n">
        <x:v>5</x:v>
      </x:c>
      <x:c r="E78" s="88" t="str">
        <x:v>昆航</x:v>
      </x:c>
      <x:c r="F78" s="88" t="str">
        <x:v>19:15</x:v>
      </x:c>
      <x:c r="G78" s="88" t="str">
        <x:v>22:50</x:v>
      </x:c>
      <x:c r="H78" s="88" t="str">
        <x:v>上海浦东国际机场</x:v>
      </x:c>
      <x:c r="I78" s="88" t="str">
        <x:v>昆明长水国际机场</x:v>
      </x:c>
      <x:c r="J78" s="88" t="n">
        <x:v>0</x:v>
      </x:c>
      <x:c r="K78" s="88" t="str">
        <x:v>—</x:v>
      </x:c>
      <x:c r="L78" s="88" t="str">
        <x:v>3 小时 35 分钟</x:v>
      </x:c>
      <x:c r="M78" s="89" t="n">
        <x:v>4037</x:v>
      </x:c>
      <x:c r="N78" s="89" t="n">
        <x:v>0</x:v>
      </x:c>
      <x:c r="O78" s="89" t="n">
        <x:f>M78+N78</x:f>
        <x:v>4037</x:v>
      </x:c>
      <x:c r="P78" s="88" t="str">
        <x:f>IF(O78&lt;5000,"是","否")</x:f>
        <x:v>是</x:v>
      </x:c>
      <x:c r="Q78" s="90" t="str">
        <x:v>国内经济舱通常含20kg；出票前须按实际票价等级复核</x:v>
      </x:c>
      <x:c r="R78" s="90" t="str">
        <x:v>该去程对应的最低可订返程组合；具体返程航班需打开来源链接确认</x:v>
      </x:c>
      <x:c r="S78" s="91" t="n">
        <x:v>46267.74517780093</x:v>
      </x:c>
      <x:c r="T78" s="92" t="str">
        <x:v>https://www.google.com/travel/flights?hl=zh-CN&amp;curr=CNY&amp;q=Flights%20from%20Shanghai%20to%20Kunming%20from%202026-10-01%20to%202026-10-06</x:v>
      </x:c>
      <x:c r="U78" s="136" t="n">
        <x:v>46301</x:v>
      </x:c>
      <x:c r="V78" s="90" t="str">
        <x:v>07:10</x:v>
      </x:c>
      <x:c r="W78" s="90" t="str">
        <x:v>昆明长水国际机场</x:v>
      </x:c>
      <x:c r="X78" s="137" t="n">
        <x:v>46301</x:v>
      </x:c>
      <x:c r="Y78" s="90" t="str">
        <x:v>10:20</x:v>
      </x:c>
      <x:c r="Z78" s="90" t="str">
        <x:v>上海浦东国际机场</x:v>
      </x:c>
      <x:c r="AA78" s="90" t="str">
        <x:v>吉祥航空</x:v>
      </x:c>
      <x:c r="AB78" s="90" t="n">
        <x:v>0</x:v>
      </x:c>
      <x:c r="AC78" s="90" t="str">
        <x:v>3 小时 10 分钟</x:v>
      </x:c>
      <x:c r="AD78" s="138" t="n">
        <x:v>5788</x:v>
      </x:c>
      <x:c r="AE78" s="90" t="str">
        <x:v>当前价格已变化，采用当前最低价返程</x:v>
      </x:c>
      <x:c r="AF78" s="92" t="str">
        <x:v>https://www.google.com/travel/flights/search?tfs=CBwQAhpLEgoyMDI2LTEwLTAxIiAKA1BWRxIKMjAyNi0xMC0wMRoDS01HKgJITzIEMTAxN2oMCAISCC9tLzA2d2pmcg0IAhIJL20vMDFjMDZkGikSCjIwMjYtMTAtMDZqDQgCEgkvbS8wMWMwNmRyDAgCEggvbS8wNndqZkABSAFwAYIBCwj___________8BmAEB&amp;tfu=ClhDalJJYTBKcFduQjNPRU4zUjFGQlJYRXhObWRDUnkwdExTMHRMWE5sY0dReE1TMXVNVUZCUVVGQlIzRlpRekk0U1c1aU4yMUJFZ1pJVHpFd01UYzRIQT09EgIIACIA&amp;hl=zh-CN&amp;curr=CNY</x:v>
      </x:c>
    </x:row>
    <x:row r="79" ht="42" customHeight="1">
      <x:c r="A79" s="85" t="n">
        <x:f>ROW()-7</x:f>
        <x:v>72</x:v>
      </x:c>
      <x:c r="B79" s="86" t="n">
        <x:v>46296</x:v>
      </x:c>
      <x:c r="C79" s="86" t="n">
        <x:v>46302</x:v>
      </x:c>
      <x:c r="D79" s="87" t="n">
        <x:v>6</x:v>
      </x:c>
      <x:c r="E79" s="88" t="str">
        <x:v>昆航</x:v>
      </x:c>
      <x:c r="F79" s="88" t="str">
        <x:v>19:15</x:v>
      </x:c>
      <x:c r="G79" s="88" t="str">
        <x:v>22:50</x:v>
      </x:c>
      <x:c r="H79" s="88" t="str">
        <x:v>上海浦东国际机场</x:v>
      </x:c>
      <x:c r="I79" s="88" t="str">
        <x:v>昆明长水国际机场</x:v>
      </x:c>
      <x:c r="J79" s="88" t="n">
        <x:v>0</x:v>
      </x:c>
      <x:c r="K79" s="88" t="str">
        <x:v>—</x:v>
      </x:c>
      <x:c r="L79" s="88" t="str">
        <x:v>3 小时 35 分钟</x:v>
      </x:c>
      <x:c r="M79" s="89" t="n">
        <x:v>4037</x:v>
      </x:c>
      <x:c r="N79" s="89" t="n">
        <x:v>0</x:v>
      </x:c>
      <x:c r="O79" s="89" t="n">
        <x:f>M79+N79</x:f>
        <x:v>4037</x:v>
      </x:c>
      <x:c r="P79" s="88" t="str">
        <x:f>IF(O79&lt;5000,"是","否")</x:f>
        <x:v>是</x:v>
      </x:c>
      <x:c r="Q79" s="90" t="str">
        <x:v>国内经济舱通常含20kg；出票前须按实际票价等级复核</x:v>
      </x:c>
      <x:c r="R79" s="90" t="str">
        <x:v>该去程对应的最低可订返程组合；具体返程航班需打开来源链接确认</x:v>
      </x:c>
      <x:c r="S79" s="91" t="n">
        <x:v>46267.74517780093</x:v>
      </x:c>
      <x:c r="T79" s="92" t="str">
        <x:v>https://www.google.com/travel/flights?hl=zh-CN&amp;curr=CNY&amp;q=Flights%20from%20Shanghai%20to%20Kunming%20from%202026-10-01%20to%202026-10-07</x:v>
      </x:c>
      <x:c r="U79" s="136" t="n">
        <x:v>46302</x:v>
      </x:c>
      <x:c r="V79" s="90" t="str">
        <x:v>08:40</x:v>
      </x:c>
      <x:c r="W79" s="90" t="str">
        <x:v>昆明长水国际机场</x:v>
      </x:c>
      <x:c r="X79" s="137" t="n">
        <x:v>46302</x:v>
      </x:c>
      <x:c r="Y79" s="90" t="str">
        <x:v>12:00</x:v>
      </x:c>
      <x:c r="Z79" s="90" t="str">
        <x:v>上海浦东国际机场</x:v>
      </x:c>
      <x:c r="AA79" s="90" t="str">
        <x:v>昆航</x:v>
      </x:c>
      <x:c r="AB79" s="90" t="n">
        <x:v>0</x:v>
      </x:c>
      <x:c r="AC79" s="90" t="str">
        <x:v>3 小时 20 分钟</x:v>
      </x:c>
      <x:c r="AD79" s="138"/>
      <x:c r="AE79" s="90" t="str">
        <x:v>当前返程列表无价格，采用排序第一条</x:v>
      </x:c>
      <x:c r="AF79" s="92" t="str">
        <x:v>https://www.google.com/travel/flights/search?tfs=CBwQAhpLEgoyMDI2LTEwLTAxIiAKA1BWRxIKMjAyNi0xMC0wMRoDS01HKgJLWTIEODIyMmoMCAISCC9tLzA2d2pmcg0IAhIJL20vMDFjMDZkGikSCjIwMjYtMTAtMDdqDQgCEgkvbS8wMWMwNmRyDAgCEggvbS8wNndqZkABSAFwAYIBCwj___________8BmAEB&amp;tfu=CnBDalJJV25VMlpHdHJNMVpPY1ZsQlJEaGZiRkZDUnkwdExTMHRMUzF6YlhWa015MXVNa0ZCUVVGQlIzRlpRekk0U0RjNFlrVkJFZ2hMV1RneU1qSWpNUm9LQ01RZ0VBQWFBME5PV1RnY2NJVGtBdz09EgIIACIA&amp;hl=zh-CN&amp;curr=CNY</x:v>
      </x:c>
    </x:row>
    <x:row r="80" ht="42" customHeight="1">
      <x:c r="A80" s="85" t="n">
        <x:f>ROW()-7</x:f>
        <x:v>73</x:v>
      </x:c>
      <x:c r="B80" s="86" t="n">
        <x:v>46296</x:v>
      </x:c>
      <x:c r="C80" s="86" t="n">
        <x:v>46300</x:v>
      </x:c>
      <x:c r="D80" s="87" t="n">
        <x:v>4</x:v>
      </x:c>
      <x:c r="E80" s="88" t="str">
        <x:v>吉祥航空</x:v>
      </x:c>
      <x:c r="F80" s="88" t="str">
        <x:v>14:25</x:v>
      </x:c>
      <x:c r="G80" s="88" t="str">
        <x:v>17:40</x:v>
      </x:c>
      <x:c r="H80" s="88" t="str">
        <x:v>上海虹桥国际机场</x:v>
      </x:c>
      <x:c r="I80" s="88" t="str">
        <x:v>昆明长水国际机场</x:v>
      </x:c>
      <x:c r="J80" s="88" t="n">
        <x:v>0</x:v>
      </x:c>
      <x:c r="K80" s="88" t="str">
        <x:v>—</x:v>
      </x:c>
      <x:c r="L80" s="88" t="str">
        <x:v>3 小时 15 分钟</x:v>
      </x:c>
      <x:c r="M80" s="89" t="n">
        <x:v>4084</x:v>
      </x:c>
      <x:c r="N80" s="89" t="n">
        <x:v>0</x:v>
      </x:c>
      <x:c r="O80" s="89" t="n">
        <x:f>M80+N80</x:f>
        <x:v>4084</x:v>
      </x:c>
      <x:c r="P80" s="88" t="str">
        <x:f>IF(O80&lt;5000,"是","否")</x:f>
        <x:v>是</x:v>
      </x:c>
      <x:c r="Q80" s="90" t="str">
        <x:v>国内经济舱通常含20kg；出票前须按实际票价等级复核</x:v>
      </x:c>
      <x:c r="R80" s="90" t="str">
        <x:v>该去程对应的最低可订返程组合；具体返程航班需打开来源链接确认</x:v>
      </x:c>
      <x:c r="S80" s="91" t="n">
        <x:v>46267.74517780093</x:v>
      </x:c>
      <x:c r="T80" s="92" t="str">
        <x:v>https://www.google.com/travel/flights?hl=zh-CN&amp;curr=CNY&amp;q=Flights%20from%20Shanghai%20to%20Kunming%20from%202026-10-01%20to%202026-10-05</x:v>
      </x:c>
      <x:c r="U80" s="136" t="n">
        <x:v>46300</x:v>
      </x:c>
      <x:c r="V80" s="90" t="str">
        <x:v>12:15</x:v>
      </x:c>
      <x:c r="W80" s="90" t="str">
        <x:v>昆明长水国际机场</x:v>
      </x:c>
      <x:c r="X80" s="137" t="n">
        <x:v>46300</x:v>
      </x:c>
      <x:c r="Y80" s="90" t="str">
        <x:v>15:20</x:v>
      </x:c>
      <x:c r="Z80" s="90" t="str">
        <x:v>上海虹桥国际机场</x:v>
      </x:c>
      <x:c r="AA80" s="90" t="str">
        <x:v>吉祥航空</x:v>
      </x:c>
      <x:c r="AB80" s="90" t="n">
        <x:v>0</x:v>
      </x:c>
      <x:c r="AC80" s="90" t="str">
        <x:v>3 小时 5 分钟</x:v>
      </x:c>
      <x:c r="AD80" s="138" t="n">
        <x:v>4084</x:v>
      </x:c>
      <x:c r="AE80" s="90" t="str">
        <x:v>匹配原始往返起价</x:v>
      </x:c>
      <x:c r="AF80" s="92" t="str">
        <x:v>https://www.google.com/travel/flights/search?tfs=CBwQAhpLEgoyMDI2LTEwLTAxIiAKA1NIQRIKMjAyNi0xMC0wMRoDS01HKgJITzIEMTA4M2oMCAISCC9tLzA2d2pmcg0IAhIJL20vMDFjMDZkGikSCjIwMjYtMTAtMDVqDQgCEgkvbS8wMWMwNmRyDAgCEggvbS8wNndqZkABSAFwAYIBCwj___________8BmAEB&amp;tfu=CmxDalJJYjBOd1MydElWbTlpTW1OQlJIVnVObEZDUnkwdExTMHRMWE50WTNkck55MXVNa0ZCUVVGQlIzRlpRek5uUldSamJtRkJFZ1pJVHpFd09ETWFDZ2owSHhBQUdnTkRUbGs0SEhEZTJnTT0SAggAIgA&amp;hl=zh-CN&amp;curr=CNY</x:v>
      </x:c>
    </x:row>
    <x:row r="81" ht="42" customHeight="1">
      <x:c r="A81" s="85" t="n">
        <x:f>ROW()-7</x:f>
        <x:v>74</x:v>
      </x:c>
      <x:c r="B81" s="86" t="n">
        <x:v>46300</x:v>
      </x:c>
      <x:c r="C81" s="86" t="n">
        <x:v>46304</x:v>
      </x:c>
      <x:c r="D81" s="87" t="n">
        <x:v>4</x:v>
      </x:c>
      <x:c r="E81" s="88" t="str">
        <x:v>吉祥航空</x:v>
      </x:c>
      <x:c r="F81" s="88" t="str">
        <x:v>07:10</x:v>
      </x:c>
      <x:c r="G81" s="88" t="str">
        <x:v>10:35</x:v>
      </x:c>
      <x:c r="H81" s="88" t="str">
        <x:v>上海浦东国际机场</x:v>
      </x:c>
      <x:c r="I81" s="88" t="str">
        <x:v>昆明长水国际机场</x:v>
      </x:c>
      <x:c r="J81" s="88" t="n">
        <x:v>0</x:v>
      </x:c>
      <x:c r="K81" s="88" t="str">
        <x:v>—</x:v>
      </x:c>
      <x:c r="L81" s="88" t="str">
        <x:v>3 小时 25 分钟</x:v>
      </x:c>
      <x:c r="M81" s="89" t="n">
        <x:v>4084</x:v>
      </x:c>
      <x:c r="N81" s="89" t="n">
        <x:v>0</x:v>
      </x:c>
      <x:c r="O81" s="89" t="n">
        <x:f>M81+N81</x:f>
        <x:v>4084</x:v>
      </x:c>
      <x:c r="P81" s="88" t="str">
        <x:f>IF(O81&lt;5000,"是","否")</x:f>
        <x:v>是</x:v>
      </x:c>
      <x:c r="Q81" s="90" t="str">
        <x:v>国内经济舱通常含20kg；出票前须按实际票价等级复核</x:v>
      </x:c>
      <x:c r="R81" s="90" t="str">
        <x:v>该去程对应的最低可订返程组合；具体返程航班需打开来源链接确认</x:v>
      </x:c>
      <x:c r="S81" s="91" t="n">
        <x:v>46267.74517780093</x:v>
      </x:c>
      <x:c r="T81" s="92" t="str">
        <x:v>https://www.google.com/travel/flights?hl=zh-CN&amp;curr=CNY&amp;q=Flights%20from%20Shanghai%20to%20Kunming%20from%202026-10-05%20to%202026-10-09</x:v>
      </x:c>
      <x:c r="U81" s="136" t="n">
        <x:v>46304</x:v>
      </x:c>
      <x:c r="V81" s="90" t="str">
        <x:v>22:05</x:v>
      </x:c>
      <x:c r="W81" s="90" t="str">
        <x:v>昆明长水国际机场</x:v>
      </x:c>
      <x:c r="X81" s="137" t="n">
        <x:v>46305</x:v>
      </x:c>
      <x:c r="Y81" s="90" t="str">
        <x:v>01:10</x:v>
      </x:c>
      <x:c r="Z81" s="90" t="str">
        <x:v>上海浦东国际机场</x:v>
      </x:c>
      <x:c r="AA81" s="90" t="str">
        <x:v>上航</x:v>
      </x:c>
      <x:c r="AB81" s="90" t="n">
        <x:v>0</x:v>
      </x:c>
      <x:c r="AC81" s="90" t="str">
        <x:v>3 小时 5 分钟</x:v>
      </x:c>
      <x:c r="AD81" s="138" t="n">
        <x:v>6212</x:v>
      </x:c>
      <x:c r="AE81" s="90" t="str">
        <x:v>当前价格已变化，采用当前最低价返程</x:v>
      </x:c>
      <x:c r="AF81" s="92" t="str">
        <x:v>https://www.google.com/travel/flights/search?tfs=CBwQAhpLEgoyMDI2LTEwLTA1IiAKA1BWRxIKMjAyNi0xMC0wNRoDS01HKgJNVTIENTgyNGoMCAISCC9tLzA2d2pmcg0IAhIJL20vMDFjMDZkGikSCjIwMjYtMTAtMDlqDQgCEgkvbS8wMWMwNmRyDAgCEggvbS8wNndqZkABSAFwAYIBCwj___________8BmAEB&amp;tfu=ClhDalJJTFdzelFXRXhNM05FT1ZGQlJWRlBTSGRDUnkwdExTMHRMUzB0TFMxelpXRmtOa0ZCUVVGQlIzRlpRek5aUVU1S1JVbEJFZ1pOVlRVNE1qUTRIUT09EgIIACIA&amp;hl=zh-CN&amp;curr=CNY</x:v>
      </x:c>
    </x:row>
    <x:row r="82" ht="42" customHeight="1">
      <x:c r="A82" s="85" t="n">
        <x:f>ROW()-7</x:f>
        <x:v>75</x:v>
      </x:c>
      <x:c r="B82" s="86" t="n">
        <x:v>46297</x:v>
      </x:c>
      <x:c r="C82" s="86" t="n">
        <x:v>46303</x:v>
      </x:c>
      <x:c r="D82" s="87" t="n">
        <x:v>6</x:v>
      </x:c>
      <x:c r="E82" s="88" t="str">
        <x:v>东航</x:v>
      </x:c>
      <x:c r="F82" s="88" t="str">
        <x:v>07:10</x:v>
      </x:c>
      <x:c r="G82" s="88" t="str">
        <x:v>10:35</x:v>
      </x:c>
      <x:c r="H82" s="88" t="str">
        <x:v>上海浦东国际机场</x:v>
      </x:c>
      <x:c r="I82" s="88" t="str">
        <x:v>昆明长水国际机场</x:v>
      </x:c>
      <x:c r="J82" s="88" t="n">
        <x:v>0</x:v>
      </x:c>
      <x:c r="K82" s="88" t="str">
        <x:v>—</x:v>
      </x:c>
      <x:c r="L82" s="88" t="str">
        <x:v>3 小时 25 分钟</x:v>
      </x:c>
      <x:c r="M82" s="89" t="n">
        <x:v>4090</x:v>
      </x:c>
      <x:c r="N82" s="89" t="n">
        <x:v>0</x:v>
      </x:c>
      <x:c r="O82" s="89" t="n">
        <x:f>M82+N82</x:f>
        <x:v>4090</x:v>
      </x:c>
      <x:c r="P82" s="88" t="str">
        <x:f>IF(O82&lt;5000,"是","否")</x:f>
        <x:v>是</x:v>
      </x:c>
      <x:c r="Q82" s="90" t="str">
        <x:v>国内经济舱通常含20kg；出票前须按实际票价等级复核</x:v>
      </x:c>
      <x:c r="R82" s="90" t="str">
        <x:v>该去程对应的最低可订返程组合；具体返程航班需打开来源链接确认</x:v>
      </x:c>
      <x:c r="S82" s="91" t="n">
        <x:v>46267.74517780093</x:v>
      </x:c>
      <x:c r="T82" s="92" t="str">
        <x:v>https://www.google.com/travel/flights?hl=zh-CN&amp;curr=CNY&amp;q=Flights%20from%20Shanghai%20to%20Kunming%20from%202026-10-02%20to%202026-10-08</x:v>
      </x:c>
      <x:c r="U82" s="136" t="n">
        <x:v>46303</x:v>
      </x:c>
      <x:c r="V82" s="90" t="str">
        <x:v>06:55</x:v>
      </x:c>
      <x:c r="W82" s="90" t="str">
        <x:v>昆明长水国际机场</x:v>
      </x:c>
      <x:c r="X82" s="137" t="n">
        <x:v>46303</x:v>
      </x:c>
      <x:c r="Y82" s="90" t="str">
        <x:v>09:50</x:v>
      </x:c>
      <x:c r="Z82" s="90" t="str">
        <x:v>上海浦东国际机场</x:v>
      </x:c>
      <x:c r="AA82" s="90" t="str">
        <x:v>东航</x:v>
      </x:c>
      <x:c r="AB82" s="90" t="n">
        <x:v>0</x:v>
      </x:c>
      <x:c r="AC82" s="90" t="str">
        <x:v>2 小时 55 分钟</x:v>
      </x:c>
      <x:c r="AD82" s="138"/>
      <x:c r="AE82" s="90" t="str">
        <x:v>当前返程列表无价格，采用排序第一条</x:v>
      </x:c>
      <x:c r="AF82" s="92" t="str">
        <x:v>https://www.google.com/travel/flights/search?tfs=CBwQAhpLEgoyMDI2LTEwLTAyIiAKA1BWRxIKMjAyNi0xMC0wMhoDS01HKgJNVTIENTgyNGoMCAISCC9tLzA2d2pmcg0IAhIJL20vMDFjMDZkGikSCjIwMjYtMTAtMDhqDQgCEgkvbS8wMWMwNmRyDAgCEggvbS8wNndqZkABSAFwAYIBCwj___________8BmAEB&amp;tfu=CmxDalJJVTFCd2FUaFNTbWhxVTBsQlJWVnVWbEZDUnkwdExTMHRMUzB0YzIxck1TMXVNVUZCUVVGQlIzRlpRek5uUXpWZlJUUkJFZ1pOVlRVNE1qUWFDZ2o1SHhBQUdnTkRUbGs0SEhDcDJ3TT0SAggAIgA&amp;hl=zh-CN&amp;curr=CNY</x:v>
      </x:c>
    </x:row>
    <x:row r="83" ht="42" customHeight="1">
      <x:c r="A83" s="85" t="n">
        <x:f>ROW()-7</x:f>
        <x:v>76</x:v>
      </x:c>
      <x:c r="B83" s="86" t="n">
        <x:v>46300</x:v>
      </x:c>
      <x:c r="C83" s="86" t="n">
        <x:v>46304</x:v>
      </x:c>
      <x:c r="D83" s="87" t="n">
        <x:v>4</x:v>
      </x:c>
      <x:c r="E83" s="88" t="str">
        <x:v>吉祥航空</x:v>
      </x:c>
      <x:c r="F83" s="88" t="str">
        <x:v>09:05</x:v>
      </x:c>
      <x:c r="G83" s="88" t="str">
        <x:v>12:25</x:v>
      </x:c>
      <x:c r="H83" s="88" t="str">
        <x:v>上海浦东国际机场</x:v>
      </x:c>
      <x:c r="I83" s="88" t="str">
        <x:v>昆明长水国际机场</x:v>
      </x:c>
      <x:c r="J83" s="88" t="n">
        <x:v>0</x:v>
      </x:c>
      <x:c r="K83" s="88" t="str">
        <x:v>—</x:v>
      </x:c>
      <x:c r="L83" s="88" t="str">
        <x:v>3 小时 20 分钟</x:v>
      </x:c>
      <x:c r="M83" s="89" t="n">
        <x:v>4121</x:v>
      </x:c>
      <x:c r="N83" s="89" t="n">
        <x:v>0</x:v>
      </x:c>
      <x:c r="O83" s="89" t="n">
        <x:f>M83+N83</x:f>
        <x:v>4121</x:v>
      </x:c>
      <x:c r="P83" s="88" t="str">
        <x:f>IF(O83&lt;5000,"是","否")</x:f>
        <x:v>是</x:v>
      </x:c>
      <x:c r="Q83" s="90" t="str">
        <x:v>国内经济舱通常含20kg；出票前须按实际票价等级复核</x:v>
      </x:c>
      <x:c r="R83" s="90" t="str">
        <x:v>该去程对应的最低可订返程组合；具体返程航班需打开来源链接确认</x:v>
      </x:c>
      <x:c r="S83" s="91" t="n">
        <x:v>46267.74517780093</x:v>
      </x:c>
      <x:c r="T83" s="92" t="str">
        <x:v>https://www.google.com/travel/flights?hl=zh-CN&amp;curr=CNY&amp;q=Flights%20from%20Shanghai%20to%20Kunming%20from%202026-10-05%20to%202026-10-09</x:v>
      </x:c>
      <x:c r="U83" s="136" t="n">
        <x:v>46304</x:v>
      </x:c>
      <x:c r="V83" s="90" t="str">
        <x:v>07:10</x:v>
      </x:c>
      <x:c r="W83" s="90" t="str">
        <x:v>昆明长水国际机场</x:v>
      </x:c>
      <x:c r="X83" s="137" t="n">
        <x:v>46304</x:v>
      </x:c>
      <x:c r="Y83" s="90" t="str">
        <x:v>10:20</x:v>
      </x:c>
      <x:c r="Z83" s="90" t="str">
        <x:v>上海浦东国际机场</x:v>
      </x:c>
      <x:c r="AA83" s="90" t="str">
        <x:v>吉祥航空</x:v>
      </x:c>
      <x:c r="AB83" s="90" t="n">
        <x:v>0</x:v>
      </x:c>
      <x:c r="AC83" s="90" t="str">
        <x:v>3 小时 10 分钟</x:v>
      </x:c>
      <x:c r="AD83" s="138"/>
      <x:c r="AE83" s="90" t="str">
        <x:v>当前返程列表无价格，采用排序第一条</x:v>
      </x:c>
      <x:c r="AF83" s="92" t="str">
        <x:v>https://www.google.com/travel/flights/search?tfs=CBwQAhpLEgoyMDI2LTEwLTA1IiAKA1BWRxIKMjAyNi0xMC0wNRoDS01HKgJITzIEMTA5OWoMCAISCC9tLzA2d2pmcg0IAhIJL20vMDFjMDZkGikSCjIwMjYtMTAtMDlqDQgCEgkvbS8wMWMwNmRyDAgCEggvbS8wNndqZkABSAFwAYIBCwj___________8BmAEB&amp;tfu=CmxDalJJU0dwUmRETldNWGhSUVd0QlJsVTRXVUZDUnkwdExTMHRMUzB0TFhOdFltUjFPVUZCUVVGQlIzRlpRek5uU1ZvMk5GVkJFZ1pJVHpFd09Ua2FDZ2k2RHhBQUdnTkRUbGs0SEhEMzVRRT0SAggAIgA&amp;hl=zh-CN&amp;curr=CNY</x:v>
      </x:c>
    </x:row>
    <x:row r="84" ht="42" customHeight="1">
      <x:c r="A84" s="85" t="n">
        <x:f>ROW()-7</x:f>
        <x:v>77</x:v>
      </x:c>
      <x:c r="B84" s="86" t="n">
        <x:v>46296</x:v>
      </x:c>
      <x:c r="C84" s="86" t="n">
        <x:v>46301</x:v>
      </x:c>
      <x:c r="D84" s="87" t="n">
        <x:v>5</x:v>
      </x:c>
      <x:c r="E84" s="88" t="str">
        <x:v>春航</x:v>
      </x:c>
      <x:c r="F84" s="88" t="str">
        <x:v>13:25</x:v>
      </x:c>
      <x:c r="G84" s="88" t="str">
        <x:v>18:15</x:v>
      </x:c>
      <x:c r="H84" s="88" t="str">
        <x:v>上海虹桥国际机场</x:v>
      </x:c>
      <x:c r="I84" s="88" t="str">
        <x:v>昆明长水国际机场</x:v>
      </x:c>
      <x:c r="J84" s="88" t="n">
        <x:v>0</x:v>
      </x:c>
      <x:c r="K84" s="88" t="str">
        <x:v>—</x:v>
      </x:c>
      <x:c r="L84" s="88" t="str">
        <x:v>4 小时 50 分钟</x:v>
      </x:c>
      <x:c r="M84" s="89" t="n">
        <x:v>3800</x:v>
      </x:c>
      <x:c r="N84" s="89" t="n">
        <x:v>350</x:v>
      </x:c>
      <x:c r="O84" s="89" t="n">
        <x:f>M84+N84</x:f>
        <x:v>4150</x:v>
      </x:c>
      <x:c r="P84" s="88" t="str">
        <x:f>IF(O84&lt;5000,"是","否")</x:f>
        <x:v>是</x:v>
      </x:c>
      <x:c r="Q84" s="90" t="str">
        <x:v>春秋低价票可能不含托运；按国内往返20kg保守预留¥350</x:v>
      </x:c>
      <x:c r="R84" s="90" t="str">
        <x:v>该去程对应的最低可订返程组合；具体返程航班需打开来源链接确认</x:v>
      </x:c>
      <x:c r="S84" s="91" t="n">
        <x:v>46267.74517780093</x:v>
      </x:c>
      <x:c r="T84" s="92" t="str">
        <x:v>https://www.google.com/travel/flights?hl=zh-CN&amp;curr=CNY&amp;q=Flights%20from%20Shanghai%20to%20Kunming%20from%202026-10-01%20to%202026-10-06</x:v>
      </x:c>
      <x:c r="U84" s="136" t="n">
        <x:v>46301</x:v>
      </x:c>
      <x:c r="V84" s="90" t="str">
        <x:v>12:45</x:v>
      </x:c>
      <x:c r="W84" s="90" t="str">
        <x:v>昆明长水国际机场</x:v>
      </x:c>
      <x:c r="X84" s="137" t="n">
        <x:v>46301</x:v>
      </x:c>
      <x:c r="Y84" s="90" t="str">
        <x:v>16:00</x:v>
      </x:c>
      <x:c r="Z84" s="90" t="str">
        <x:v>上海虹桥国际机场</x:v>
      </x:c>
      <x:c r="AA84" s="90" t="str">
        <x:v>春航</x:v>
      </x:c>
      <x:c r="AB84" s="90" t="n">
        <x:v>0</x:v>
      </x:c>
      <x:c r="AC84" s="90" t="str">
        <x:v>3 小时 15 分钟</x:v>
      </x:c>
      <x:c r="AD84" s="138" t="n">
        <x:v>3800</x:v>
      </x:c>
      <x:c r="AE84" s="90" t="str">
        <x:v>匹配原始往返起价</x:v>
      </x:c>
      <x:c r="AF84" s="92" t="str">
        <x:v>https://www.google.com/travel/flights/search?tfs=CBwQAhpLEgoyMDI2LTEwLTAxIiAKA1NIQRIKMjAyNi0xMC0wMRoDS01HKgI5QzIEODgyOWoMCAISCC9tLzA2d2pmcg0IAhIJL20vMDFjMDZkGikSCjIwMjYtMTAtMDZqDQgCEgkvbS8wMWMwNmRyDAgCEggvbS8wNndqZkABSAFwAYIBCwj___________8BmAEB&amp;tfu=CmxDalJJT1hWcVIzUnVRa3BOUjAxQlJDMVdNV2RDUnkwdExTMHRMWE50ZEhneE5pMXVNa0ZCUVVGQlIzRlpRelJCUnprd1EzbEJFZ1k1UXpnNE1qa2FDZ2pZSFJBQUdnTkRUbGs0SEhEY3VRTT0SAggAIgA&amp;hl=zh-CN&amp;curr=CNY</x:v>
      </x:c>
    </x:row>
    <x:row r="85" ht="42" customHeight="1">
      <x:c r="A85" s="85" t="n">
        <x:f>ROW()-7</x:f>
        <x:v>78</x:v>
      </x:c>
      <x:c r="B85" s="86" t="n">
        <x:v>46296</x:v>
      </x:c>
      <x:c r="C85" s="86" t="n">
        <x:v>46301</x:v>
      </x:c>
      <x:c r="D85" s="87" t="n">
        <x:v>5</x:v>
      </x:c>
      <x:c r="E85" s="88" t="str">
        <x:v>昆航</x:v>
      </x:c>
      <x:c r="F85" s="88" t="str">
        <x:v>17:35</x:v>
      </x:c>
      <x:c r="G85" s="88" t="str">
        <x:v>20:50</x:v>
      </x:c>
      <x:c r="H85" s="88" t="str">
        <x:v>上海浦东国际机场</x:v>
      </x:c>
      <x:c r="I85" s="88" t="str">
        <x:v>昆明长水国际机场</x:v>
      </x:c>
      <x:c r="J85" s="88" t="n">
        <x:v>0</x:v>
      </x:c>
      <x:c r="K85" s="88" t="str">
        <x:v>—</x:v>
      </x:c>
      <x:c r="L85" s="88" t="str">
        <x:v>3 小时 15 分钟</x:v>
      </x:c>
      <x:c r="M85" s="89" t="n">
        <x:v>4215</x:v>
      </x:c>
      <x:c r="N85" s="89" t="n">
        <x:v>0</x:v>
      </x:c>
      <x:c r="O85" s="89" t="n">
        <x:f>M85+N85</x:f>
        <x:v>4215</x:v>
      </x:c>
      <x:c r="P85" s="88" t="str">
        <x:f>IF(O85&lt;5000,"是","否")</x:f>
        <x:v>是</x:v>
      </x:c>
      <x:c r="Q85" s="90" t="str">
        <x:v>国内经济舱通常含20kg；出票前须按实际票价等级复核</x:v>
      </x:c>
      <x:c r="R85" s="90" t="str">
        <x:v>该去程对应的最低可订返程组合；具体返程航班需打开来源链接确认</x:v>
      </x:c>
      <x:c r="S85" s="91" t="n">
        <x:v>46267.74517780093</x:v>
      </x:c>
      <x:c r="T85" s="92" t="str">
        <x:v>https://www.google.com/travel/flights?hl=zh-CN&amp;curr=CNY&amp;q=Flights%20from%20Shanghai%20to%20Kunming%20from%202026-10-01%20to%202026-10-06</x:v>
      </x:c>
      <x:c r="U85" s="136" t="n">
        <x:v>46301</x:v>
      </x:c>
      <x:c r="V85" s="90" t="str">
        <x:v>08:40</x:v>
      </x:c>
      <x:c r="W85" s="90" t="str">
        <x:v>昆明长水国际机场</x:v>
      </x:c>
      <x:c r="X85" s="137" t="n">
        <x:v>46301</x:v>
      </x:c>
      <x:c r="Y85" s="90" t="str">
        <x:v>12:00</x:v>
      </x:c>
      <x:c r="Z85" s="90" t="str">
        <x:v>上海浦东国际机场</x:v>
      </x:c>
      <x:c r="AA85" s="90" t="str">
        <x:v>昆航</x:v>
      </x:c>
      <x:c r="AB85" s="90" t="n">
        <x:v>0</x:v>
      </x:c>
      <x:c r="AC85" s="90" t="str">
        <x:v>3 小时 20 分钟</x:v>
      </x:c>
      <x:c r="AD85" s="138"/>
      <x:c r="AE85" s="90" t="str">
        <x:v>当前返程列表无价格，采用排序第一条</x:v>
      </x:c>
      <x:c r="AF85" s="92" t="str">
        <x:v>https://www.google.com/travel/flights/search?tfs=CBwQAhpLEgoyMDI2LTEwLTAxIiAKA1BWRxIKMjAyNi0xMC0wMRoDS01HKgJLWTIEODIxOGoMCAISCC9tLzA2d2pmcg0IAhIJL20vMDFjMDZkGikSCjIwMjYtMTAtMDZqDQgCEgkvbS8wMWMwNmRyDAgCEggvbS8wNndqZkABSAFwAYIBCwj___________8BmAEB&amp;tfu=CmxDalJJVEVvMGRVZFVjWE5mVEZsQlJXeElRVUZDUnkwdExTMHRMUzB0YzJWaVpXRTBNVUZCUVVGQlIzRlpRek0wVDJOdGJubEJFZ1pMV1RneU1UZ2FDZ2k4SVJBQUdnTkRUbGs0SFhEKzhRTT0SAggAIgA&amp;hl=zh-CN&amp;curr=CNY</x:v>
      </x:c>
    </x:row>
    <x:row r="86" ht="42" customHeight="1">
      <x:c r="A86" s="85" t="n">
        <x:f>ROW()-7</x:f>
        <x:v>79</x:v>
      </x:c>
      <x:c r="B86" s="86" t="n">
        <x:v>46296</x:v>
      </x:c>
      <x:c r="C86" s="86" t="n">
        <x:v>46302</x:v>
      </x:c>
      <x:c r="D86" s="87" t="n">
        <x:v>6</x:v>
      </x:c>
      <x:c r="E86" s="88" t="str">
        <x:v>昆航</x:v>
      </x:c>
      <x:c r="F86" s="88" t="str">
        <x:v>17:35</x:v>
      </x:c>
      <x:c r="G86" s="88" t="str">
        <x:v>20:50</x:v>
      </x:c>
      <x:c r="H86" s="88" t="str">
        <x:v>上海浦东国际机场</x:v>
      </x:c>
      <x:c r="I86" s="88" t="str">
        <x:v>昆明长水国际机场</x:v>
      </x:c>
      <x:c r="J86" s="88" t="n">
        <x:v>0</x:v>
      </x:c>
      <x:c r="K86" s="88" t="str">
        <x:v>—</x:v>
      </x:c>
      <x:c r="L86" s="88" t="str">
        <x:v>3 小时 15 分钟</x:v>
      </x:c>
      <x:c r="M86" s="89" t="n">
        <x:v>4215</x:v>
      </x:c>
      <x:c r="N86" s="89" t="n">
        <x:v>0</x:v>
      </x:c>
      <x:c r="O86" s="89" t="n">
        <x:f>M86+N86</x:f>
        <x:v>4215</x:v>
      </x:c>
      <x:c r="P86" s="88" t="str">
        <x:f>IF(O86&lt;5000,"是","否")</x:f>
        <x:v>是</x:v>
      </x:c>
      <x:c r="Q86" s="90" t="str">
        <x:v>国内经济舱通常含20kg；出票前须按实际票价等级复核</x:v>
      </x:c>
      <x:c r="R86" s="90" t="str">
        <x:v>该去程对应的最低可订返程组合；具体返程航班需打开来源链接确认</x:v>
      </x:c>
      <x:c r="S86" s="91" t="n">
        <x:v>46267.74517780093</x:v>
      </x:c>
      <x:c r="T86" s="92" t="str">
        <x:v>https://www.google.com/travel/flights?hl=zh-CN&amp;curr=CNY&amp;q=Flights%20from%20Shanghai%20to%20Kunming%20from%202026-10-01%20to%202026-10-07</x:v>
      </x:c>
      <x:c r="U86" s="136" t="n">
        <x:v>46302</x:v>
      </x:c>
      <x:c r="V86" s="90" t="str">
        <x:v>08:40</x:v>
      </x:c>
      <x:c r="W86" s="90" t="str">
        <x:v>昆明长水国际机场</x:v>
      </x:c>
      <x:c r="X86" s="137" t="n">
        <x:v>46302</x:v>
      </x:c>
      <x:c r="Y86" s="90" t="str">
        <x:v>12:00</x:v>
      </x:c>
      <x:c r="Z86" s="90" t="str">
        <x:v>上海浦东国际机场</x:v>
      </x:c>
      <x:c r="AA86" s="90" t="str">
        <x:v>昆航</x:v>
      </x:c>
      <x:c r="AB86" s="90" t="n">
        <x:v>0</x:v>
      </x:c>
      <x:c r="AC86" s="90" t="str">
        <x:v>3 小时 20 分钟</x:v>
      </x:c>
      <x:c r="AD86" s="138"/>
      <x:c r="AE86" s="90" t="str">
        <x:v>当前返程列表无价格，采用排序第一条</x:v>
      </x:c>
      <x:c r="AF86" s="92" t="str">
        <x:v>https://www.google.com/travel/flights/search?tfs=CBwQAhpLEgoyMDI2LTEwLTAxIiAKA1BWRxIKMjAyNi0xMC0wMRoDS01HKgJLWTIEODIxOGoMCAISCC9tLzA2d2pmcg0IAhIJL20vMDFjMDZkGikSCjIwMjYtMTAtMDdqDQgCEgkvbS8wMWMwNmRyDAgCEggvbS8wNndqZkABSAFwAYIBCwj___________8BmAEB&amp;tfu=CmxDalJJUldWVWVrOVRPSFJGVkRCQlJWVmhjVUZDUnkwdExTMHRMUzB0TFhObFoyY3lOMEZCUVVGQlIzRlpRelJCU1VONmQxRkJFZ1pMV1RneU1UZ2FDZ2k4SVJBQUdnTkRUbGs0SEhEKzhRTT0SAggAIgA&amp;hl=zh-CN&amp;curr=CNY</x:v>
      </x:c>
    </x:row>
    <x:row r="87" ht="42" customHeight="1">
      <x:c r="A87" s="85" t="n">
        <x:f>ROW()-7</x:f>
        <x:v>80</x:v>
      </x:c>
      <x:c r="B87" s="86" t="n">
        <x:v>46296</x:v>
      </x:c>
      <x:c r="C87" s="86" t="n">
        <x:v>46300</x:v>
      </x:c>
      <x:c r="D87" s="87" t="n">
        <x:v>4</x:v>
      </x:c>
      <x:c r="E87" s="88" t="str">
        <x:v>春航</x:v>
      </x:c>
      <x:c r="F87" s="88" t="str">
        <x:v>07:55</x:v>
      </x:c>
      <x:c r="G87" s="88" t="str">
        <x:v>11:20</x:v>
      </x:c>
      <x:c r="H87" s="88" t="str">
        <x:v>上海虹桥国际机场</x:v>
      </x:c>
      <x:c r="I87" s="88" t="str">
        <x:v>昆明长水国际机场</x:v>
      </x:c>
      <x:c r="J87" s="88" t="n">
        <x:v>0</x:v>
      </x:c>
      <x:c r="K87" s="88" t="str">
        <x:v>—</x:v>
      </x:c>
      <x:c r="L87" s="88" t="str">
        <x:v>3 小时 25 分钟</x:v>
      </x:c>
      <x:c r="M87" s="89" t="n">
        <x:v>3940</x:v>
      </x:c>
      <x:c r="N87" s="89" t="n">
        <x:v>350</x:v>
      </x:c>
      <x:c r="O87" s="89" t="n">
        <x:f>M87+N87</x:f>
        <x:v>4290</x:v>
      </x:c>
      <x:c r="P87" s="88" t="str">
        <x:f>IF(O87&lt;5000,"是","否")</x:f>
        <x:v>是</x:v>
      </x:c>
      <x:c r="Q87" s="90" t="str">
        <x:v>春秋低价票可能不含托运；按国内往返20kg保守预留¥350</x:v>
      </x:c>
      <x:c r="R87" s="90" t="str">
        <x:v>该去程对应的最低可订返程组合；具体返程航班需打开来源链接确认</x:v>
      </x:c>
      <x:c r="S87" s="91" t="n">
        <x:v>46267.74517780093</x:v>
      </x:c>
      <x:c r="T87" s="92" t="str">
        <x:v>https://www.google.com/travel/flights?hl=zh-CN&amp;curr=CNY&amp;q=Flights%20from%20Shanghai%20to%20Kunming%20from%202026-10-01%20to%202026-10-05</x:v>
      </x:c>
      <x:c r="U87" s="136" t="n">
        <x:v>46300</x:v>
      </x:c>
      <x:c r="V87" s="90" t="str">
        <x:v>12:45</x:v>
      </x:c>
      <x:c r="W87" s="90" t="str">
        <x:v>昆明长水国际机场</x:v>
      </x:c>
      <x:c r="X87" s="137" t="n">
        <x:v>46300</x:v>
      </x:c>
      <x:c r="Y87" s="90" t="str">
        <x:v>16:00</x:v>
      </x:c>
      <x:c r="Z87" s="90" t="str">
        <x:v>上海虹桥国际机场</x:v>
      </x:c>
      <x:c r="AA87" s="90" t="str">
        <x:v>春航</x:v>
      </x:c>
      <x:c r="AB87" s="90" t="n">
        <x:v>0</x:v>
      </x:c>
      <x:c r="AC87" s="90" t="str">
        <x:v>3 小时 15 分钟</x:v>
      </x:c>
      <x:c r="AD87" s="138" t="n">
        <x:v>3940</x:v>
      </x:c>
      <x:c r="AE87" s="90" t="str">
        <x:v>匹配原始往返起价</x:v>
      </x:c>
      <x:c r="AF87" s="92" t="str">
        <x:v>https://www.google.com/travel/flights/search?tfs=CBwQAhpLEgoyMDI2LTEwLTAxIiAKA1NIQRIKMjAyNi0xMC0wMRoDS01HKgI5QzIEODk1M2oMCAISCC9tLzA2d2pmcg0IAhIJL20vMDFjMDZkGikSCjIwMjYtMTAtMDVqDQgCEgkvbS8wMWMwNmRyDAgCEggvbS8wNndqZkABSAFwAYIBCwj___________8BmAEB&amp;tfu=CmxDalJJVEVvMGRVZFVjWE5mVEZsQlJXeElibmRDUnkwdExTMHRMUzB0YzJWaVpXRTBNVUZCUVVGQlIzRlpRelJGUVZJME5XTkJFZ1k1UXpnNU5UTWFDZ2prSGhBQUdnTkRUbGs0SEhDQXlnTT0SAggAIgA&amp;hl=zh-CN&amp;curr=CNY</x:v>
      </x:c>
    </x:row>
    <x:row r="88" ht="42" customHeight="1">
      <x:c r="A88" s="85" t="n">
        <x:f>ROW()-7</x:f>
        <x:v>81</x:v>
      </x:c>
      <x:c r="B88" s="86" t="n">
        <x:v>46296</x:v>
      </x:c>
      <x:c r="C88" s="86" t="n">
        <x:v>46302</x:v>
      </x:c>
      <x:c r="D88" s="87" t="n">
        <x:v>6</x:v>
      </x:c>
      <x:c r="E88" s="88" t="str">
        <x:v>春航</x:v>
      </x:c>
      <x:c r="F88" s="88" t="str">
        <x:v>13:25</x:v>
      </x:c>
      <x:c r="G88" s="88" t="str">
        <x:v>18:15</x:v>
      </x:c>
      <x:c r="H88" s="88" t="str">
        <x:v>上海虹桥国际机场</x:v>
      </x:c>
      <x:c r="I88" s="88" t="str">
        <x:v>昆明长水国际机场</x:v>
      </x:c>
      <x:c r="J88" s="88" t="n">
        <x:v>0</x:v>
      </x:c>
      <x:c r="K88" s="88" t="str">
        <x:v>—</x:v>
      </x:c>
      <x:c r="L88" s="88" t="str">
        <x:v>4 小时 50 分钟</x:v>
      </x:c>
      <x:c r="M88" s="89" t="n">
        <x:v>3940</x:v>
      </x:c>
      <x:c r="N88" s="89" t="n">
        <x:v>350</x:v>
      </x:c>
      <x:c r="O88" s="89" t="n">
        <x:f>M88+N88</x:f>
        <x:v>4290</x:v>
      </x:c>
      <x:c r="P88" s="88" t="str">
        <x:f>IF(O88&lt;5000,"是","否")</x:f>
        <x:v>是</x:v>
      </x:c>
      <x:c r="Q88" s="90" t="str">
        <x:v>春秋低价票可能不含托运；按国内往返20kg保守预留¥350</x:v>
      </x:c>
      <x:c r="R88" s="90" t="str">
        <x:v>该去程对应的最低可订返程组合；具体返程航班需打开来源链接确认</x:v>
      </x:c>
      <x:c r="S88" s="91" t="n">
        <x:v>46267.74517780093</x:v>
      </x:c>
      <x:c r="T88" s="92" t="str">
        <x:v>https://www.google.com/travel/flights?hl=zh-CN&amp;curr=CNY&amp;q=Flights%20from%20Shanghai%20to%20Kunming%20from%202026-10-01%20to%202026-10-07</x:v>
      </x:c>
      <x:c r="U88" s="136" t="n">
        <x:v>46302</x:v>
      </x:c>
      <x:c r="V88" s="90" t="str">
        <x:v>19:20</x:v>
      </x:c>
      <x:c r="W88" s="90" t="str">
        <x:v>昆明长水国际机场</x:v>
      </x:c>
      <x:c r="X88" s="137" t="n">
        <x:v>46302</x:v>
      </x:c>
      <x:c r="Y88" s="90" t="str">
        <x:v>23:55</x:v>
      </x:c>
      <x:c r="Z88" s="90" t="str">
        <x:v>上海虹桥国际机场</x:v>
      </x:c>
      <x:c r="AA88" s="90" t="str">
        <x:v>春航</x:v>
      </x:c>
      <x:c r="AB88" s="90" t="n">
        <x:v>0</x:v>
      </x:c>
      <x:c r="AC88" s="90" t="str">
        <x:v>4 小时 35 分钟</x:v>
      </x:c>
      <x:c r="AD88" s="138" t="n">
        <x:v>3940</x:v>
      </x:c>
      <x:c r="AE88" s="90" t="str">
        <x:v>匹配原始往返起价</x:v>
      </x:c>
      <x:c r="AF88" s="92" t="str">
        <x:v>https://www.google.com/travel/flights/search?tfs=CBwQAhpLEgoyMDI2LTEwLTAxIiAKA1NIQRIKMjAyNi0xMC0wMRoDS01HKgI5QzIEODgyOWoMCAISCC9tLzA2d2pmcg0IAhIJL20vMDFjMDZkGikSCjIwMjYtMTAtMDdqDQgCEgkvbS8wMWMwNmRyDAgCEggvbS8wNndqZkABSAFwAYIBCwj___________8BmAEB&amp;tfu=CmxDalJJYTBKcFduQjNPRU4zUjFGQlJYSkVlVkZDUnkwdExTMHRMWE5sY0dReE1TMXVNVUZCUVVGQlIzRlpRelZKVFdKT2FtZEJFZ1k1UXpnNE1qa2FDZ2prSGhBQUdnTkRUbGs0SEhDQXlnTT0SAggAIgA&amp;hl=zh-CN&amp;curr=CNY</x:v>
      </x:c>
    </x:row>
    <x:row r="89" ht="42" customHeight="1">
      <x:c r="A89" s="85" t="n">
        <x:f>ROW()-7</x:f>
        <x:v>82</x:v>
      </x:c>
      <x:c r="B89" s="86" t="n">
        <x:v>46297</x:v>
      </x:c>
      <x:c r="C89" s="86" t="n">
        <x:v>46302</x:v>
      </x:c>
      <x:c r="D89" s="87" t="n">
        <x:v>5</x:v>
      </x:c>
      <x:c r="E89" s="88" t="str">
        <x:v>吉祥航空</x:v>
      </x:c>
      <x:c r="F89" s="88" t="str">
        <x:v>09:15</x:v>
      </x:c>
      <x:c r="G89" s="88" t="str">
        <x:v>12:25</x:v>
      </x:c>
      <x:c r="H89" s="88" t="str">
        <x:v>上海浦东国际机场</x:v>
      </x:c>
      <x:c r="I89" s="88" t="str">
        <x:v>昆明长水国际机场</x:v>
      </x:c>
      <x:c r="J89" s="88" t="n">
        <x:v>0</x:v>
      </x:c>
      <x:c r="K89" s="88" t="str">
        <x:v>—</x:v>
      </x:c>
      <x:c r="L89" s="88" t="str">
        <x:v>3 小时 10 分钟</x:v>
      </x:c>
      <x:c r="M89" s="89" t="n">
        <x:v>4296</x:v>
      </x:c>
      <x:c r="N89" s="89" t="n">
        <x:v>0</x:v>
      </x:c>
      <x:c r="O89" s="89" t="n">
        <x:f>M89+N89</x:f>
        <x:v>4296</x:v>
      </x:c>
      <x:c r="P89" s="88" t="str">
        <x:f>IF(O89&lt;5000,"是","否")</x:f>
        <x:v>是</x:v>
      </x:c>
      <x:c r="Q89" s="90" t="str">
        <x:v>国内经济舱通常含20kg；出票前须按实际票价等级复核</x:v>
      </x:c>
      <x:c r="R89" s="90" t="str">
        <x:v>该去程对应的最低可订返程组合；具体返程航班需打开来源链接确认</x:v>
      </x:c>
      <x:c r="S89" s="91" t="n">
        <x:v>46267.74517780093</x:v>
      </x:c>
      <x:c r="T89" s="92" t="str">
        <x:v>https://www.google.com/travel/flights?hl=zh-CN&amp;curr=CNY&amp;q=Flights%20from%20Shanghai%20to%20Kunming%20from%202026-10-02%20to%202026-10-07</x:v>
      </x:c>
      <x:c r="U89" s="136" t="n">
        <x:v>46302</x:v>
      </x:c>
      <x:c r="V89" s="90" t="str">
        <x:v>20:50</x:v>
      </x:c>
      <x:c r="W89" s="90" t="str">
        <x:v>昆明长水国际机场</x:v>
      </x:c>
      <x:c r="X89" s="137" t="n">
        <x:v>46303</x:v>
      </x:c>
      <x:c r="Y89" s="90" t="str">
        <x:v>00:10</x:v>
      </x:c>
      <x:c r="Z89" s="90" t="str">
        <x:v>上海浦东国际机场</x:v>
      </x:c>
      <x:c r="AA89" s="90" t="str">
        <x:v>吉祥航空</x:v>
      </x:c>
      <x:c r="AB89" s="90" t="n">
        <x:v>0</x:v>
      </x:c>
      <x:c r="AC89" s="90" t="str">
        <x:v>3 小时 20 分钟</x:v>
      </x:c>
      <x:c r="AD89" s="138" t="n">
        <x:v>4296</x:v>
      </x:c>
      <x:c r="AE89" s="90" t="str">
        <x:v>匹配原始往返起价</x:v>
      </x:c>
      <x:c r="AF89" s="92" t="str">
        <x:v>https://www.google.com/travel/flights/search?tfs=CBwQAhpLEgoyMDI2LTEwLTAyIiAKA1BWRxIKMjAyNi0xMC0wMhoDS01HKgJITzIEMTA5OWoMCAISCC9tLzA2d2pmcg0IAhIJL20vMDFjMDZkGikSCjIwMjYtMTAtMDdqDQgCEgkvbS8wMWMwNmRyDAgCEggvbS8wNndqZkABSAFwAYIBCwj___________8BmAEB&amp;tfu=CmxDalJJZEU5VWJEQndRbVpTWVhkQlIyRlhZMUZDUnkwdExTMHRMUzB0YzJWaVozSXpNMEZCUVVGQlIzRlpRelZKVG5SMGNGTkJFZ1pJVHpFd09Ua2FDZ2pJSVJBQUdnTkRUbGs0SEhDdzh3TT0SAggAIgA&amp;hl=zh-CN&amp;curr=CNY</x:v>
      </x:c>
    </x:row>
    <x:row r="90" ht="42" customHeight="1">
      <x:c r="A90" s="85" t="n">
        <x:f>ROW()-7</x:f>
        <x:v>83</x:v>
      </x:c>
      <x:c r="B90" s="86" t="n">
        <x:v>46296</x:v>
      </x:c>
      <x:c r="C90" s="86" t="n">
        <x:v>46300</x:v>
      </x:c>
      <x:c r="D90" s="87" t="n">
        <x:v>4</x:v>
      </x:c>
      <x:c r="E90" s="88" t="str">
        <x:v>东航</x:v>
      </x:c>
      <x:c r="F90" s="88" t="str">
        <x:v>12:10</x:v>
      </x:c>
      <x:c r="G90" s="88" t="str">
        <x:v>15:30</x:v>
      </x:c>
      <x:c r="H90" s="88" t="str">
        <x:v>上海浦东国际机场</x:v>
      </x:c>
      <x:c r="I90" s="88" t="str">
        <x:v>昆明长水国际机场</x:v>
      </x:c>
      <x:c r="J90" s="88" t="n">
        <x:v>0</x:v>
      </x:c>
      <x:c r="K90" s="88" t="str">
        <x:v>—</x:v>
      </x:c>
      <x:c r="L90" s="88" t="str">
        <x:v>3 小时 20 分钟</x:v>
      </x:c>
      <x:c r="M90" s="89" t="n">
        <x:v>4301</x:v>
      </x:c>
      <x:c r="N90" s="89" t="n">
        <x:v>0</x:v>
      </x:c>
      <x:c r="O90" s="89" t="n">
        <x:f>M90+N90</x:f>
        <x:v>4301</x:v>
      </x:c>
      <x:c r="P90" s="88" t="str">
        <x:f>IF(O90&lt;5000,"是","否")</x:f>
        <x:v>是</x:v>
      </x:c>
      <x:c r="Q90" s="90" t="str">
        <x:v>国内经济舱通常含20kg；出票前须按实际票价等级复核</x:v>
      </x:c>
      <x:c r="R90" s="90" t="str">
        <x:v>该去程对应的最低可订返程组合；具体返程航班需打开来源链接确认</x:v>
      </x:c>
      <x:c r="S90" s="91" t="n">
        <x:v>46267.74517780093</x:v>
      </x:c>
      <x:c r="T90" s="92" t="str">
        <x:v>https://www.google.com/travel/flights?hl=zh-CN&amp;curr=CNY&amp;q=Flights%20from%20Shanghai%20to%20Kunming%20from%202026-10-01%20to%202026-10-05</x:v>
      </x:c>
      <x:c r="U90" s="136" t="n">
        <x:v>46300</x:v>
      </x:c>
      <x:c r="V90" s="90" t="str">
        <x:v>06:55</x:v>
      </x:c>
      <x:c r="W90" s="90" t="str">
        <x:v>昆明长水国际机场</x:v>
      </x:c>
      <x:c r="X90" s="137" t="n">
        <x:v>46300</x:v>
      </x:c>
      <x:c r="Y90" s="90" t="str">
        <x:v>09:50</x:v>
      </x:c>
      <x:c r="Z90" s="90" t="str">
        <x:v>上海浦东国际机场</x:v>
      </x:c>
      <x:c r="AA90" s="90" t="str">
        <x:v>东航</x:v>
      </x:c>
      <x:c r="AB90" s="90" t="n">
        <x:v>0</x:v>
      </x:c>
      <x:c r="AC90" s="90" t="str">
        <x:v>2 小时 55 分钟</x:v>
      </x:c>
      <x:c r="AD90" s="138"/>
      <x:c r="AE90" s="90" t="str">
        <x:v>当前返程列表无价格，采用排序第一条</x:v>
      </x:c>
      <x:c r="AF90" s="92" t="str">
        <x:v>https://www.google.com/travel/flights/search?tfs=CBwQAhpLEgoyMDI2LTEwLTAxIiAKA1BWRxIKMjAyNi0xMC0wMRoDS01HKgJNVTIENTgyMGoMCAISCC9tLzA2d2pmcg0IAhIJL20vMDFjMDZkGikSCjIwMjYtMTAtMDVqDQgCEgkvbS8wMWMwNmRyDAgCEggvbS8wNndqZkABSAFwAYIBCwj___________8BmAEB&amp;tfu=CmxDalJJWkZWWlJYTm9WSE5zUkc5QlJVVlBjbEZDUnkwdExTMHRMWE50WW1aM09TMXVNVUZCUVVGQlIzRlpRelZKVERnME9GTkJFZ1pOVlRVNE1qQWFDZ2pNSVJBQUdnTkRUbGs0SEhEczh3TT0SAggAIgA&amp;hl=zh-CN&amp;curr=CNY</x:v>
      </x:c>
    </x:row>
    <x:row r="91" ht="42" customHeight="1">
      <x:c r="A91" s="85" t="n">
        <x:f>ROW()-7</x:f>
        <x:v>84</x:v>
      </x:c>
      <x:c r="B91" s="86" t="n">
        <x:v>46296</x:v>
      </x:c>
      <x:c r="C91" s="86" t="n">
        <x:v>46300</x:v>
      </x:c>
      <x:c r="D91" s="87" t="n">
        <x:v>4</x:v>
      </x:c>
      <x:c r="E91" s="88" t="str">
        <x:v>东航</x:v>
      </x:c>
      <x:c r="F91" s="88" t="str">
        <x:v>17:30</x:v>
      </x:c>
      <x:c r="G91" s="88" t="str">
        <x:v>20:45</x:v>
      </x:c>
      <x:c r="H91" s="88" t="str">
        <x:v>上海虹桥国际机场</x:v>
      </x:c>
      <x:c r="I91" s="88" t="str">
        <x:v>昆明长水国际机场</x:v>
      </x:c>
      <x:c r="J91" s="88" t="n">
        <x:v>0</x:v>
      </x:c>
      <x:c r="K91" s="88" t="str">
        <x:v>—</x:v>
      </x:c>
      <x:c r="L91" s="88" t="str">
        <x:v>3 小时 15 分钟</x:v>
      </x:c>
      <x:c r="M91" s="89" t="n">
        <x:v>4301</x:v>
      </x:c>
      <x:c r="N91" s="89" t="n">
        <x:v>0</x:v>
      </x:c>
      <x:c r="O91" s="89" t="n">
        <x:f>M91+N91</x:f>
        <x:v>4301</x:v>
      </x:c>
      <x:c r="P91" s="88" t="str">
        <x:f>IF(O91&lt;5000,"是","否")</x:f>
        <x:v>是</x:v>
      </x:c>
      <x:c r="Q91" s="90" t="str">
        <x:v>国内经济舱通常含20kg；出票前须按实际票价等级复核</x:v>
      </x:c>
      <x:c r="R91" s="90" t="str">
        <x:v>该去程对应的最低可订返程组合；具体返程航班需打开来源链接确认</x:v>
      </x:c>
      <x:c r="S91" s="91" t="n">
        <x:v>46267.74517780093</x:v>
      </x:c>
      <x:c r="T91" s="92" t="str">
        <x:v>https://www.google.com/travel/flights?hl=zh-CN&amp;curr=CNY&amp;q=Flights%20from%20Shanghai%20to%20Kunming%20from%202026-10-01%20to%202026-10-05</x:v>
      </x:c>
      <x:c r="U91" s="136" t="n">
        <x:v>46300</x:v>
      </x:c>
      <x:c r="V91" s="90" t="str">
        <x:v>07:05</x:v>
      </x:c>
      <x:c r="W91" s="90" t="str">
        <x:v>昆明长水国际机场</x:v>
      </x:c>
      <x:c r="X91" s="137" t="n">
        <x:v>46300</x:v>
      </x:c>
      <x:c r="Y91" s="90" t="str">
        <x:v>14:15</x:v>
      </x:c>
      <x:c r="Z91" s="90" t="str">
        <x:v>上海虹桥国际机场</x:v>
      </x:c>
      <x:c r="AA91" s="90" t="str">
        <x:v>川航和东航</x:v>
      </x:c>
      <x:c r="AB91" s="90" t="n">
        <x:v>1</x:v>
      </x:c>
      <x:c r="AC91" s="90" t="str">
        <x:v>7 小时 10 分钟</x:v>
      </x:c>
      <x:c r="AD91" s="138"/>
      <x:c r="AE91" s="90" t="str">
        <x:v>当前返程列表无价格，采用排序第一条</x:v>
      </x:c>
      <x:c r="AF91" s="92" t="str">
        <x:v>https://www.google.com/travel/flights/search?tfs=CBwQAhpLEgoyMDI2LTEwLTAxIiAKA1NIQRIKMjAyNi0xMC0wMRoDS01HKgJNVTIENTgxMGoMCAISCC9tLzA2d2pmcg0IAhIJL20vMDFjMDZkGikSCjIwMjYtMTAtMDVqDQgCEgkvbS8wMWMwNmRyDAgCEggvbS8wNndqZkABSAFwAYIBCwj___________8BmAEB&amp;tfu=CmxDalJJYjBOd1MydElWbTlpTW1OQlJIVjNjbmRDUnkwdExTMHRMWE50WTNkck55MXVNa0ZCUVVGQlIzRlpRelZOUTFCWll5MUJFZ1pOVlRVNE1UQWFDZ2pNSVJBQUdnTkRUbGs0SEhEczh3TT0SAggAIgA&amp;hl=zh-CN&amp;curr=CNY</x:v>
      </x:c>
    </x:row>
    <x:row r="92" ht="42" customHeight="1">
      <x:c r="A92" s="85" t="n">
        <x:f>ROW()-7</x:f>
        <x:v>85</x:v>
      </x:c>
      <x:c r="B92" s="86" t="n">
        <x:v>46297</x:v>
      </x:c>
      <x:c r="C92" s="86" t="n">
        <x:v>46302</x:v>
      </x:c>
      <x:c r="D92" s="87" t="n">
        <x:v>5</x:v>
      </x:c>
      <x:c r="E92" s="88" t="str">
        <x:v>吉祥航空</x:v>
      </x:c>
      <x:c r="F92" s="88" t="str">
        <x:v>14:25</x:v>
      </x:c>
      <x:c r="G92" s="88" t="str">
        <x:v>17:40</x:v>
      </x:c>
      <x:c r="H92" s="88" t="str">
        <x:v>上海虹桥国际机场</x:v>
      </x:c>
      <x:c r="I92" s="88" t="str">
        <x:v>昆明长水国际机场</x:v>
      </x:c>
      <x:c r="J92" s="88" t="n">
        <x:v>0</x:v>
      </x:c>
      <x:c r="K92" s="88" t="str">
        <x:v>—</x:v>
      </x:c>
      <x:c r="L92" s="88" t="str">
        <x:v>3 小时 15 分钟</x:v>
      </x:c>
      <x:c r="M92" s="89" t="n">
        <x:v>4311</x:v>
      </x:c>
      <x:c r="N92" s="89" t="n">
        <x:v>0</x:v>
      </x:c>
      <x:c r="O92" s="89" t="n">
        <x:f>M92+N92</x:f>
        <x:v>4311</x:v>
      </x:c>
      <x:c r="P92" s="88" t="str">
        <x:f>IF(O92&lt;5000,"是","否")</x:f>
        <x:v>是</x:v>
      </x:c>
      <x:c r="Q92" s="90" t="str">
        <x:v>国内经济舱通常含20kg；出票前须按实际票价等级复核</x:v>
      </x:c>
      <x:c r="R92" s="90" t="str">
        <x:v>该去程对应的最低可订返程组合；具体返程航班需打开来源链接确认</x:v>
      </x:c>
      <x:c r="S92" s="91" t="n">
        <x:v>46267.74517780093</x:v>
      </x:c>
      <x:c r="T92" s="92" t="str">
        <x:v>https://www.google.com/travel/flights?hl=zh-CN&amp;curr=CNY&amp;q=Flights%20from%20Shanghai%20to%20Kunming%20from%202026-10-02%20to%202026-10-07</x:v>
      </x:c>
      <x:c r="U92" s="136" t="n">
        <x:v>46302</x:v>
      </x:c>
      <x:c r="V92" s="90" t="str">
        <x:v>06:30</x:v>
      </x:c>
      <x:c r="W92" s="90" t="str">
        <x:v>昆明长水国际机场</x:v>
      </x:c>
      <x:c r="X92" s="137" t="n">
        <x:v>46302</x:v>
      </x:c>
      <x:c r="Y92" s="90" t="str">
        <x:v>13:35</x:v>
      </x:c>
      <x:c r="Z92" s="90" t="str">
        <x:v>上海虹桥国际机场</x:v>
      </x:c>
      <x:c r="AA92" s="90" t="str">
        <x:v>川航和吉祥航空</x:v>
      </x:c>
      <x:c r="AB92" s="90" t="n">
        <x:v>1</x:v>
      </x:c>
      <x:c r="AC92" s="90" t="str">
        <x:v>7 小时 5 分钟</x:v>
      </x:c>
      <x:c r="AD92" s="138"/>
      <x:c r="AE92" s="90" t="str">
        <x:v>当前返程列表无价格，采用排序第一条</x:v>
      </x:c>
      <x:c r="AF92" s="92" t="str">
        <x:v>https://www.google.com/travel/flights/search?tfs=CBwQAhpLEgoyMDI2LTEwLTAyIiAKA1NIQRIKMjAyNi0xMC0wMhoDS01HKgJITzIEMTA4M2oMCAISCC9tLzA2d2pmcg0IAhIJL20vMDFjMDZkGikSCjIwMjYtMTAtMDdqDQgCEgkvbS8wMWMwNmRyDAgCEggvbS8wNndqZkABSAFwAYIBCwj___________8BmAEB&amp;tfu=CmxDalJJTFhrM016ZFNRVGg0ZUZGQlJXNU1URkZDUnkwdExTMHRMUzF6WldKdU15MXVNa0ZCUVVGQlIzRlpRelZyU2xablZ6QkJFZ1pJVHpFd09ETWFDZ2pYSVJBQUdnTkRUbGs0SFhDUTlRTT0SAggAIgMSATA&amp;hl=zh-CN&amp;curr=CNY</x:v>
      </x:c>
    </x:row>
    <x:row r="93" ht="42" customHeight="1">
      <x:c r="A93" s="85" t="n">
        <x:f>ROW()-7</x:f>
        <x:v>86</x:v>
      </x:c>
      <x:c r="B93" s="86" t="n">
        <x:v>46296</x:v>
      </x:c>
      <x:c r="C93" s="86" t="n">
        <x:v>46300</x:v>
      </x:c>
      <x:c r="D93" s="87" t="n">
        <x:v>4</x:v>
      </x:c>
      <x:c r="E93" s="88" t="str">
        <x:v>吉祥航空</x:v>
      </x:c>
      <x:c r="F93" s="88" t="str">
        <x:v>10:00</x:v>
      </x:c>
      <x:c r="G93" s="88" t="str">
        <x:v>13:20</x:v>
      </x:c>
      <x:c r="H93" s="88" t="str">
        <x:v>上海浦东国际机场</x:v>
      </x:c>
      <x:c r="I93" s="88" t="str">
        <x:v>昆明长水国际机场</x:v>
      </x:c>
      <x:c r="J93" s="88" t="n">
        <x:v>0</x:v>
      </x:c>
      <x:c r="K93" s="88" t="str">
        <x:v>—</x:v>
      </x:c>
      <x:c r="L93" s="88" t="str">
        <x:v>3 小时 20 分钟</x:v>
      </x:c>
      <x:c r="M93" s="89" t="n">
        <x:v>4321</x:v>
      </x:c>
      <x:c r="N93" s="89" t="n">
        <x:v>0</x:v>
      </x:c>
      <x:c r="O93" s="89" t="n">
        <x:f>M93+N93</x:f>
        <x:v>4321</x:v>
      </x:c>
      <x:c r="P93" s="88" t="str">
        <x:f>IF(O93&lt;5000,"是","否")</x:f>
        <x:v>是</x:v>
      </x:c>
      <x:c r="Q93" s="90" t="str">
        <x:v>国内经济舱通常含20kg；出票前须按实际票价等级复核</x:v>
      </x:c>
      <x:c r="R93" s="90" t="str">
        <x:v>该去程对应的最低可订返程组合；具体返程航班需打开来源链接确认</x:v>
      </x:c>
      <x:c r="S93" s="91" t="n">
        <x:v>46267.74517780093</x:v>
      </x:c>
      <x:c r="T93" s="92" t="str">
        <x:v>https://www.google.com/travel/flights?hl=zh-CN&amp;curr=CNY&amp;q=Flights%20from%20Shanghai%20to%20Kunming%20from%202026-10-01%20to%202026-10-05</x:v>
      </x:c>
      <x:c r="U93" s="136" t="n">
        <x:v>46300</x:v>
      </x:c>
      <x:c r="V93" s="90" t="str">
        <x:v>07:10</x:v>
      </x:c>
      <x:c r="W93" s="90" t="str">
        <x:v>昆明长水国际机场</x:v>
      </x:c>
      <x:c r="X93" s="137" t="n">
        <x:v>46300</x:v>
      </x:c>
      <x:c r="Y93" s="90" t="str">
        <x:v>10:20</x:v>
      </x:c>
      <x:c r="Z93" s="90" t="str">
        <x:v>上海浦东国际机场</x:v>
      </x:c>
      <x:c r="AA93" s="90" t="str">
        <x:v>吉祥航空</x:v>
      </x:c>
      <x:c r="AB93" s="90" t="n">
        <x:v>0</x:v>
      </x:c>
      <x:c r="AC93" s="90" t="str">
        <x:v>3 小时 10 分钟</x:v>
      </x:c>
      <x:c r="AD93" s="138" t="n">
        <x:v>4321</x:v>
      </x:c>
      <x:c r="AE93" s="90" t="str">
        <x:v>匹配原始往返起价</x:v>
      </x:c>
      <x:c r="AF93" s="92" t="str">
        <x:v>https://www.google.com/travel/flights/search?tfs=CBwQAhpLEgoyMDI2LTEwLTAxIiAKA1BWRxIKMjAyNi0xMC0wMRoDS01HKgJITzIEMTA5OWoMCAISCC9tLzA2d2pmcg0IAhIJL20vMDFjMDZkGikSCjIwMjYtMTAtMDVqDQgCEgkvbS8wMWMwNmRyDAgCEggvbS8wNndqZkABSAFwAYIBCwj___________8BmAEB&amp;tfu=CmxDalJJUldWVWVrOVRPSFJGVkRCQlJWVnRTbEZDUnkwdExTMHRMUzB0TFhObFoyY3lOMEZCUVVGQlIzRlpRelZ6VEVoQlFqQkJFZ1pJVHpFd09Ua2FDZ2poSVJBQUdnTkRUbGs0SEhDazlnTT0SAggAIgA&amp;hl=zh-CN&amp;curr=CNY</x:v>
      </x:c>
    </x:row>
    <x:row r="94" ht="42" customHeight="1">
      <x:c r="A94" s="85" t="n">
        <x:f>ROW()-7</x:f>
        <x:v>87</x:v>
      </x:c>
      <x:c r="B94" s="86" t="n">
        <x:v>46296</x:v>
      </x:c>
      <x:c r="C94" s="86" t="n">
        <x:v>46301</x:v>
      </x:c>
      <x:c r="D94" s="87" t="n">
        <x:v>5</x:v>
      </x:c>
      <x:c r="E94" s="88" t="str">
        <x:v>昆航</x:v>
      </x:c>
      <x:c r="F94" s="88" t="str">
        <x:v>13:20</x:v>
      </x:c>
      <x:c r="G94" s="88" t="str">
        <x:v>16:40</x:v>
      </x:c>
      <x:c r="H94" s="88" t="str">
        <x:v>上海浦东国际机场</x:v>
      </x:c>
      <x:c r="I94" s="88" t="str">
        <x:v>昆明长水国际机场</x:v>
      </x:c>
      <x:c r="J94" s="88" t="n">
        <x:v>0</x:v>
      </x:c>
      <x:c r="K94" s="88" t="str">
        <x:v>—</x:v>
      </x:c>
      <x:c r="L94" s="88" t="str">
        <x:v>3 小时 20 分钟</x:v>
      </x:c>
      <x:c r="M94" s="89" t="n">
        <x:v>4334</x:v>
      </x:c>
      <x:c r="N94" s="89" t="n">
        <x:v>0</x:v>
      </x:c>
      <x:c r="O94" s="89" t="n">
        <x:f>M94+N94</x:f>
        <x:v>4334</x:v>
      </x:c>
      <x:c r="P94" s="88" t="str">
        <x:f>IF(O94&lt;5000,"是","否")</x:f>
        <x:v>是</x:v>
      </x:c>
      <x:c r="Q94" s="90" t="str">
        <x:v>国内经济舱通常含20kg；出票前须按实际票价等级复核</x:v>
      </x:c>
      <x:c r="R94" s="90" t="str">
        <x:v>该去程对应的最低可订返程组合；具体返程航班需打开来源链接确认</x:v>
      </x:c>
      <x:c r="S94" s="91" t="n">
        <x:v>46267.74517780093</x:v>
      </x:c>
      <x:c r="T94" s="92" t="str">
        <x:v>https://www.google.com/travel/flights?hl=zh-CN&amp;curr=CNY&amp;q=Flights%20from%20Shanghai%20to%20Kunming%20from%202026-10-01%20to%202026-10-06</x:v>
      </x:c>
      <x:c r="U94" s="136" t="n">
        <x:v>46301</x:v>
      </x:c>
      <x:c r="V94" s="90" t="str">
        <x:v>08:40</x:v>
      </x:c>
      <x:c r="W94" s="90" t="str">
        <x:v>昆明长水国际机场</x:v>
      </x:c>
      <x:c r="X94" s="137" t="n">
        <x:v>46301</x:v>
      </x:c>
      <x:c r="Y94" s="90" t="str">
        <x:v>12:00</x:v>
      </x:c>
      <x:c r="Z94" s="90" t="str">
        <x:v>上海浦东国际机场</x:v>
      </x:c>
      <x:c r="AA94" s="90" t="str">
        <x:v>昆航</x:v>
      </x:c>
      <x:c r="AB94" s="90" t="n">
        <x:v>0</x:v>
      </x:c>
      <x:c r="AC94" s="90" t="str">
        <x:v>3 小时 20 分钟</x:v>
      </x:c>
      <x:c r="AD94" s="138"/>
      <x:c r="AE94" s="90" t="str">
        <x:v>当前返程列表无价格，采用排序第一条</x:v>
      </x:c>
      <x:c r="AF94" s="92" t="str">
        <x:v>https://www.google.com/travel/flights/search?tfs=CBwQAhpLEgoyMDI2LTEwLTAxIiAKA1BWRxIKMjAyNi0xMC0wMRoDS01HKgJLWTIEODIyMGoMCAISCC9tLzA2d2pmcg0IAhIJL20vMDFjMDZkGikSCjIwMjYtMTAtMDZqDQgCEgkvbS8wMWMwNmRyDAgCEggvbS8wNndqZkABSAFwAYIBCwj___________8BmAEB&amp;tfu=CmxDalJJTlU5V1JHUmlTbE5GWkVsQlEyRk5TM2RDUnkwdExTMHRMUzB0YzJWaVluRXlOa0ZCUVVGQlIzRlpRelZyVEZWQ2VFMUJFZ1pMV1RneU1qQWFDZ2p0SVJBQUdnTkRUbGs0SFhEWDl3TT0SAggAIgA&amp;hl=zh-CN&amp;curr=CNY</x:v>
      </x:c>
    </x:row>
    <x:row r="95" ht="42" customHeight="1">
      <x:c r="A95" s="85" t="n">
        <x:f>ROW()-7</x:f>
        <x:v>88</x:v>
      </x:c>
      <x:c r="B95" s="86" t="n">
        <x:v>46296</x:v>
      </x:c>
      <x:c r="C95" s="86" t="n">
        <x:v>46302</x:v>
      </x:c>
      <x:c r="D95" s="87" t="n">
        <x:v>6</x:v>
      </x:c>
      <x:c r="E95" s="88" t="str">
        <x:v>昆航</x:v>
      </x:c>
      <x:c r="F95" s="88" t="str">
        <x:v>13:20</x:v>
      </x:c>
      <x:c r="G95" s="88" t="str">
        <x:v>16:40</x:v>
      </x:c>
      <x:c r="H95" s="88" t="str">
        <x:v>上海浦东国际机场</x:v>
      </x:c>
      <x:c r="I95" s="88" t="str">
        <x:v>昆明长水国际机场</x:v>
      </x:c>
      <x:c r="J95" s="88" t="n">
        <x:v>0</x:v>
      </x:c>
      <x:c r="K95" s="88" t="str">
        <x:v>—</x:v>
      </x:c>
      <x:c r="L95" s="88" t="str">
        <x:v>3 小时 20 分钟</x:v>
      </x:c>
      <x:c r="M95" s="89" t="n">
        <x:v>4334</x:v>
      </x:c>
      <x:c r="N95" s="89" t="n">
        <x:v>0</x:v>
      </x:c>
      <x:c r="O95" s="89" t="n">
        <x:f>M95+N95</x:f>
        <x:v>4334</x:v>
      </x:c>
      <x:c r="P95" s="88" t="str">
        <x:f>IF(O95&lt;5000,"是","否")</x:f>
        <x:v>是</x:v>
      </x:c>
      <x:c r="Q95" s="90" t="str">
        <x:v>国内经济舱通常含20kg；出票前须按实际票价等级复核</x:v>
      </x:c>
      <x:c r="R95" s="90" t="str">
        <x:v>该去程对应的最低可订返程组合；具体返程航班需打开来源链接确认</x:v>
      </x:c>
      <x:c r="S95" s="91" t="n">
        <x:v>46267.74517780093</x:v>
      </x:c>
      <x:c r="T95" s="92" t="str">
        <x:v>https://www.google.com/travel/flights?hl=zh-CN&amp;curr=CNY&amp;q=Flights%20from%20Shanghai%20to%20Kunming%20from%202026-10-01%20to%202026-10-07</x:v>
      </x:c>
      <x:c r="U95" s="136" t="n">
        <x:v>46302</x:v>
      </x:c>
      <x:c r="V95" s="90" t="str">
        <x:v>08:40</x:v>
      </x:c>
      <x:c r="W95" s="90" t="str">
        <x:v>昆明长水国际机场</x:v>
      </x:c>
      <x:c r="X95" s="137" t="n">
        <x:v>46302</x:v>
      </x:c>
      <x:c r="Y95" s="90" t="str">
        <x:v>12:00</x:v>
      </x:c>
      <x:c r="Z95" s="90" t="str">
        <x:v>上海浦东国际机场</x:v>
      </x:c>
      <x:c r="AA95" s="90" t="str">
        <x:v>昆航</x:v>
      </x:c>
      <x:c r="AB95" s="90" t="n">
        <x:v>0</x:v>
      </x:c>
      <x:c r="AC95" s="90" t="str">
        <x:v>3 小时 20 分钟</x:v>
      </x:c>
      <x:c r="AD95" s="138"/>
      <x:c r="AE95" s="90" t="str">
        <x:v>当前返程列表无价格，采用排序第一条</x:v>
      </x:c>
      <x:c r="AF95" s="92" t="str">
        <x:v>https://www.google.com/travel/flights/search?tfs=CBwQAhpLEgoyMDI2LTEwLTAxIiAKA1BWRxIKMjAyNi0xMC0wMRoDS01HKgJLWTIEODIyMGoMCAISCC9tLzA2d2pmcg0IAhIJL20vMDFjMDZkGikSCjIwMjYtMTAtMDdqDQgCEgkvbS8wMWMwNmRyDAgCEggvbS8wNndqZkABSAFwAYIBCwj___________8BmAEB&amp;tfu=CmxDalJJUlROeFMwUnNXWFJRZEUxQlJWVkJMVUZDUnkwdExTMHRMWE50Y0hReE5DMXVNVUZCUVVGQlIzRlpRelZyUzI1eVRrOUJFZ1pMV1RneU1qQWFDZ2p0SVJBQUdnTkRUbGs0SFhEWDl3TT0SAggAIgA&amp;hl=zh-CN&amp;curr=CNY</x:v>
      </x:c>
    </x:row>
    <x:row r="96" ht="42" customHeight="1">
      <x:c r="A96" s="85" t="n">
        <x:f>ROW()-7</x:f>
        <x:v>89</x:v>
      </x:c>
      <x:c r="B96" s="86" t="n">
        <x:v>46298</x:v>
      </x:c>
      <x:c r="C96" s="86" t="n">
        <x:v>46302</x:v>
      </x:c>
      <x:c r="D96" s="87" t="n">
        <x:v>4</x:v>
      </x:c>
      <x:c r="E96" s="88" t="str">
        <x:v>深航</x:v>
      </x:c>
      <x:c r="F96" s="88" t="str">
        <x:v>12:00</x:v>
      </x:c>
      <x:c r="G96" s="88" t="str">
        <x:v>00:55 +1</x:v>
      </x:c>
      <x:c r="H96" s="88" t="str">
        <x:v>上海浦东国际机场</x:v>
      </x:c>
      <x:c r="I96" s="88" t="str">
        <x:v>昆明长水国际机场</x:v>
      </x:c>
      <x:c r="J96" s="88" t="n">
        <x:v>1</x:v>
      </x:c>
      <x:c r="K96" s="88" t="str">
        <x:v>深圳市的深圳宝安国际机场 / 7 小时 55 分钟</x:v>
      </x:c>
      <x:c r="L96" s="88" t="str">
        <x:v>12 小时 55 分钟</x:v>
      </x:c>
      <x:c r="M96" s="89" t="n">
        <x:v>4470</x:v>
      </x:c>
      <x:c r="N96" s="89" t="n">
        <x:v>0</x:v>
      </x:c>
      <x:c r="O96" s="89" t="n">
        <x:f>M96+N96</x:f>
        <x:v>4470</x:v>
      </x:c>
      <x:c r="P96" s="88" t="str">
        <x:f>IF(O96&lt;5000,"是","否")</x:f>
        <x:v>是</x:v>
      </x:c>
      <x:c r="Q96" s="90" t="str">
        <x:v>国内经济舱通常含20kg；出票前须按实际票价等级复核</x:v>
      </x:c>
      <x:c r="R96" s="90" t="str">
        <x:v>该去程对应的最低可订返程组合；具体返程航班需打开来源链接确认</x:v>
      </x:c>
      <x:c r="S96" s="91" t="n">
        <x:v>46267.74517780093</x:v>
      </x:c>
      <x:c r="T96" s="92" t="str">
        <x:v>https://www.google.com/travel/flights?hl=zh-CN&amp;curr=CNY&amp;q=Flights%20from%20Shanghai%20to%20Kunming%20from%202026-10-03%20to%202026-10-07</x:v>
      </x:c>
      <x:c r="U96" s="136" t="n">
        <x:v>46302</x:v>
      </x:c>
      <x:c r="V96" s="90" t="str">
        <x:v>17:10</x:v>
      </x:c>
      <x:c r="W96" s="90" t="str">
        <x:v>昆明长水国际机场</x:v>
      </x:c>
      <x:c r="X96" s="137" t="n">
        <x:v>46302</x:v>
      </x:c>
      <x:c r="Y96" s="90" t="str">
        <x:v>21:45</x:v>
      </x:c>
      <x:c r="Z96" s="90" t="str">
        <x:v>上海浦东国际机场</x:v>
      </x:c>
      <x:c r="AA96" s="90" t="str">
        <x:v>春航</x:v>
      </x:c>
      <x:c r="AB96" s="90" t="n">
        <x:v>0</x:v>
      </x:c>
      <x:c r="AC96" s="90" t="str">
        <x:v>4 小时 35 分钟</x:v>
      </x:c>
      <x:c r="AD96" s="138" t="n">
        <x:v>4470</x:v>
      </x:c>
      <x:c r="AE96" s="90" t="str">
        <x:v>匹配原始往返起价</x:v>
      </x:c>
      <x:c r="AF96" s="92" t="str">
        <x:v>https://www.google.com/travel/flights/search?tfs=CBwQAhptEgoyMDI2LTEwLTAzIiAKA1BWRxIKMjAyNi0xMC0wMxoDU1pYKgJaSDIEOTUxNCIgCgNTWlgSCjIwMjYtMTAtMDMaA0tNRyoCWkgyBDk0NTdqDAgCEggvbS8wNndqZnINCAISCS9tLzAxYzA2ZBopEgoyMDI2LTEwLTA3ag0IAhIJL20vMDFjMDZkcgwIAhIIL20vMDZ3amZAAUgBcAGCAQsI____________AZgBAQ&amp;tfu=CnRDalJJYnpSMU9IcEhkWFk1WVc5QlJqUm1ha0ZDUnkwdExTMHRMUzB0TFhObFlteG9OMEZCUVVGQlIzRlpSVXN3UjI5SFNuRkJFZzFhU0RrMU1UUjhXa2c1TkRVM0dnb0k5aUlRQUJvRFEwNVpPQjF3elljRRICCAAiAA&amp;hl=zh-CN&amp;curr=CNY</x:v>
      </x:c>
    </x:row>
    <x:row r="97" ht="42" customHeight="1">
      <x:c r="A97" s="85" t="n">
        <x:f>ROW()-7</x:f>
        <x:v>90</x:v>
      </x:c>
      <x:c r="B97" s="86" t="n">
        <x:v>46297</x:v>
      </x:c>
      <x:c r="C97" s="86" t="n">
        <x:v>46302</x:v>
      </x:c>
      <x:c r="D97" s="87" t="n">
        <x:v>5</x:v>
      </x:c>
      <x:c r="E97" s="88" t="str">
        <x:v>吉祥航空</x:v>
      </x:c>
      <x:c r="F97" s="88" t="str">
        <x:v>18:50</x:v>
      </x:c>
      <x:c r="G97" s="88" t="str">
        <x:v>22:25</x:v>
      </x:c>
      <x:c r="H97" s="88" t="str">
        <x:v>上海浦东国际机场</x:v>
      </x:c>
      <x:c r="I97" s="88" t="str">
        <x:v>昆明长水国际机场</x:v>
      </x:c>
      <x:c r="J97" s="88" t="n">
        <x:v>0</x:v>
      </x:c>
      <x:c r="K97" s="88" t="str">
        <x:v>—</x:v>
      </x:c>
      <x:c r="L97" s="88" t="str">
        <x:v>3 小时 35 分钟</x:v>
      </x:c>
      <x:c r="M97" s="89" t="n">
        <x:v>4543</x:v>
      </x:c>
      <x:c r="N97" s="89" t="n">
        <x:v>0</x:v>
      </x:c>
      <x:c r="O97" s="89" t="n">
        <x:f>M97+N97</x:f>
        <x:v>4543</x:v>
      </x:c>
      <x:c r="P97" s="88" t="str">
        <x:f>IF(O97&lt;5000,"是","否")</x:f>
        <x:v>是</x:v>
      </x:c>
      <x:c r="Q97" s="90" t="str">
        <x:v>国内经济舱通常含20kg；出票前须按实际票价等级复核</x:v>
      </x:c>
      <x:c r="R97" s="90" t="str">
        <x:v>该去程对应的最低可订返程组合；具体返程航班需打开来源链接确认</x:v>
      </x:c>
      <x:c r="S97" s="91" t="n">
        <x:v>46267.74517780093</x:v>
      </x:c>
      <x:c r="T97" s="92" t="str">
        <x:v>https://www.google.com/travel/flights?hl=zh-CN&amp;curr=CNY&amp;q=Flights%20from%20Shanghai%20to%20Kunming%20from%202026-10-02%20to%202026-10-07</x:v>
      </x:c>
      <x:c r="U97" s="136" t="n">
        <x:v>46302</x:v>
      </x:c>
      <x:c r="V97" s="90" t="str">
        <x:v>11:50</x:v>
      </x:c>
      <x:c r="W97" s="90" t="str">
        <x:v>昆明长水国际机场</x:v>
      </x:c>
      <x:c r="X97" s="137" t="n">
        <x:v>46302</x:v>
      </x:c>
      <x:c r="Y97" s="90" t="str">
        <x:v>14:40</x:v>
      </x:c>
      <x:c r="Z97" s="90" t="str">
        <x:v>上海浦东国际机场</x:v>
      </x:c>
      <x:c r="AA97" s="90" t="str">
        <x:v>东航</x:v>
      </x:c>
      <x:c r="AB97" s="90" t="n">
        <x:v>0</x:v>
      </x:c>
      <x:c r="AC97" s="90" t="str">
        <x:v>2 小时 50 分钟</x:v>
      </x:c>
      <x:c r="AD97" s="138" t="n">
        <x:v>7009</x:v>
      </x:c>
      <x:c r="AE97" s="90" t="str">
        <x:v>当前价格已变化，采用当前最低价返程</x:v>
      </x:c>
      <x:c r="AF97" s="92" t="str">
        <x:v>https://www.google.com/travel/flights/search?tfs=CBwQAhpLEgoyMDI2LTEwLTAyIiAKA1BWRxIKMjAyNi0xMC0wMhoDS01HKgJNVTIENTgxOGoMCAISCC9tLzA2d2pmcg0IAhIJL20vMDFjMDZkGikSCjIwMjYtMTAtMDdqDQgCEgkvbS8wMWMwNmRyDAgCEggvbS8wNndqZkABSAFwAYIBCwj___________8BmAEB&amp;tfu=CmxDalJJVTFCd2FUaFNTbWhxVTBsQlJWVTBjR2RDUnkwdExTMHRMUzB0YzIxck1TMXVNVUZCUVVGQlIzRlpRelpSUWxweWRuZEJFZ1pOVlRVNE1UZ2FDZ2poTmhBQUdnTkRUbGs0SEhEZnJnWT0SAggAIgA&amp;hl=zh-CN&amp;curr=CNY</x:v>
      </x:c>
    </x:row>
    <x:row r="98" ht="42" customHeight="1">
      <x:c r="A98" s="85" t="n">
        <x:f>ROW()-7</x:f>
        <x:v>91</x:v>
      </x:c>
      <x:c r="B98" s="86" t="n">
        <x:v>46296</x:v>
      </x:c>
      <x:c r="C98" s="86" t="n">
        <x:v>46302</x:v>
      </x:c>
      <x:c r="D98" s="87" t="n">
        <x:v>6</x:v>
      </x:c>
      <x:c r="E98" s="88" t="str">
        <x:v>南航</x:v>
      </x:c>
      <x:c r="F98" s="88" t="str">
        <x:v>07:40</x:v>
      </x:c>
      <x:c r="G98" s="88" t="str">
        <x:v>11:10</x:v>
      </x:c>
      <x:c r="H98" s="88" t="str">
        <x:v>上海浦东国际机场</x:v>
      </x:c>
      <x:c r="I98" s="88" t="str">
        <x:v>昆明长水国际机场</x:v>
      </x:c>
      <x:c r="J98" s="88" t="n">
        <x:v>0</x:v>
      </x:c>
      <x:c r="K98" s="88" t="str">
        <x:v>—</x:v>
      </x:c>
      <x:c r="L98" s="88" t="str">
        <x:v>3 小时 30 分钟</x:v>
      </x:c>
      <x:c r="M98" s="89" t="n">
        <x:v>4570</x:v>
      </x:c>
      <x:c r="N98" s="89" t="n">
        <x:v>0</x:v>
      </x:c>
      <x:c r="O98" s="89" t="n">
        <x:f>M98+N98</x:f>
        <x:v>4570</x:v>
      </x:c>
      <x:c r="P98" s="88" t="str">
        <x:f>IF(O98&lt;5000,"是","否")</x:f>
        <x:v>是</x:v>
      </x:c>
      <x:c r="Q98" s="90" t="str">
        <x:v>国内经济舱通常含20kg；出票前须按实际票价等级复核</x:v>
      </x:c>
      <x:c r="R98" s="90" t="str">
        <x:v>该去程对应的最低可订返程组合；具体返程航班需打开来源链接确认</x:v>
      </x:c>
      <x:c r="S98" s="91" t="n">
        <x:v>46267.74517780093</x:v>
      </x:c>
      <x:c r="T98" s="92" t="str">
        <x:v>https://www.google.com/travel/flights?hl=zh-CN&amp;curr=CNY&amp;q=Flights%20from%20Shanghai%20to%20Kunming%20from%202026-10-01%20to%202026-10-07</x:v>
      </x:c>
      <x:c r="U98" s="136" t="n">
        <x:v>46302</x:v>
      </x:c>
      <x:c r="V98" s="90" t="str">
        <x:v>17:10</x:v>
      </x:c>
      <x:c r="W98" s="90" t="str">
        <x:v>昆明长水国际机场</x:v>
      </x:c>
      <x:c r="X98" s="137" t="n">
        <x:v>46302</x:v>
      </x:c>
      <x:c r="Y98" s="90" t="str">
        <x:v>21:45</x:v>
      </x:c>
      <x:c r="Z98" s="90" t="str">
        <x:v>上海浦东国际机场</x:v>
      </x:c>
      <x:c r="AA98" s="90" t="str">
        <x:v>春航</x:v>
      </x:c>
      <x:c r="AB98" s="90" t="n">
        <x:v>0</x:v>
      </x:c>
      <x:c r="AC98" s="90" t="str">
        <x:v>4 小时 35 分钟</x:v>
      </x:c>
      <x:c r="AD98" s="138" t="n">
        <x:v>4570</x:v>
      </x:c>
      <x:c r="AE98" s="90" t="str">
        <x:v>匹配原始往返起价</x:v>
      </x:c>
      <x:c r="AF98" s="92" t="str">
        <x:v>https://www.google.com/travel/flights/search?tfs=CBwQAhpLEgoyMDI2LTEwLTAxIiAKA1BWRxIKMjAyNi0xMC0wMRoDS01HKgJDWjIEMzY3N2oMCAISCC9tLzA2d2pmcg0IAhIJL20vMDFjMDZkGikSCjIwMjYtMTAtMDdqDQgCEgkvbS8wMWMwNmRyDAgCEggvbS8wNndqZkABSAFwAYIBCwj___________8BmAEB&amp;tfu=CmxDalJJTjI1cVh5MTFabXBWVjI5QlJXcGpVM2RDUnkwdExTMHRMWE5sZEc0eU5pMXVNVUZCUVVGQlIzRlpRelpOVDI5TE1ubEJFZ1pEV2pNMk56Y2FDZ2phSXhBQUdnTkRUbGs0SEhDZGt3UT0SAggAIgMSATA&amp;hl=zh-CN&amp;curr=CNY</x:v>
      </x:c>
    </x:row>
    <x:row r="99" ht="42" customHeight="1">
      <x:c r="A99" s="85" t="n">
        <x:f>ROW()-7</x:f>
        <x:v>92</x:v>
      </x:c>
      <x:c r="B99" s="86" t="n">
        <x:v>46296</x:v>
      </x:c>
      <x:c r="C99" s="86" t="n">
        <x:v>46302</x:v>
      </x:c>
      <x:c r="D99" s="87" t="n">
        <x:v>6</x:v>
      </x:c>
      <x:c r="E99" s="88" t="str">
        <x:v>南航</x:v>
      </x:c>
      <x:c r="F99" s="88" t="str">
        <x:v>14:50</x:v>
      </x:c>
      <x:c r="G99" s="88" t="str">
        <x:v>18:20</x:v>
      </x:c>
      <x:c r="H99" s="88" t="str">
        <x:v>上海浦东国际机场</x:v>
      </x:c>
      <x:c r="I99" s="88" t="str">
        <x:v>昆明长水国际机场</x:v>
      </x:c>
      <x:c r="J99" s="88" t="n">
        <x:v>0</x:v>
      </x:c>
      <x:c r="K99" s="88" t="str">
        <x:v>—</x:v>
      </x:c>
      <x:c r="L99" s="88" t="str">
        <x:v>3 小时 30 分钟</x:v>
      </x:c>
      <x:c r="M99" s="89" t="n">
        <x:v>4570</x:v>
      </x:c>
      <x:c r="N99" s="89" t="n">
        <x:v>0</x:v>
      </x:c>
      <x:c r="O99" s="89" t="n">
        <x:f>M99+N99</x:f>
        <x:v>4570</x:v>
      </x:c>
      <x:c r="P99" s="88" t="str">
        <x:f>IF(O99&lt;5000,"是","否")</x:f>
        <x:v>是</x:v>
      </x:c>
      <x:c r="Q99" s="90" t="str">
        <x:v>国内经济舱通常含20kg；出票前须按实际票价等级复核</x:v>
      </x:c>
      <x:c r="R99" s="90" t="str">
        <x:v>该去程对应的最低可订返程组合；具体返程航班需打开来源链接确认</x:v>
      </x:c>
      <x:c r="S99" s="91" t="n">
        <x:v>46267.74517780093</x:v>
      </x:c>
      <x:c r="T99" s="92" t="str">
        <x:v>https://www.google.com/travel/flights?hl=zh-CN&amp;curr=CNY&amp;q=Flights%20from%20Shanghai%20to%20Kunming%20from%202026-10-01%20to%202026-10-07</x:v>
      </x:c>
      <x:c r="U99" s="136" t="n">
        <x:v>46302</x:v>
      </x:c>
      <x:c r="V99" s="90" t="str">
        <x:v>07:10</x:v>
      </x:c>
      <x:c r="W99" s="90" t="str">
        <x:v>昆明长水国际机场</x:v>
      </x:c>
      <x:c r="X99" s="137" t="n">
        <x:v>46302</x:v>
      </x:c>
      <x:c r="Y99" s="90" t="str">
        <x:v>10:20</x:v>
      </x:c>
      <x:c r="Z99" s="90" t="str">
        <x:v>上海浦东国际机场</x:v>
      </x:c>
      <x:c r="AA99" s="90" t="str">
        <x:v>吉祥航空</x:v>
      </x:c>
      <x:c r="AB99" s="90" t="n">
        <x:v>0</x:v>
      </x:c>
      <x:c r="AC99" s="90" t="str">
        <x:v>3 小时 10 分钟</x:v>
      </x:c>
      <x:c r="AD99" s="138"/>
      <x:c r="AE99" s="90" t="str">
        <x:v>当前返程列表无价格，采用排序第一条</x:v>
      </x:c>
      <x:c r="AF99" s="92" t="str">
        <x:v>https://www.google.com/travel/flights/search?tfs=CBwQAhpLEgoyMDI2LTEwLTAxIiAKA1BWRxIKMjAyNi0xMC0wMRoDS01HKgJITzIEMTAxN2oMCAISCC9tLzA2d2pmcg0IAhIJL20vMDFjMDZkGikSCjIwMjYtMTAtMDdqDQgCEgkvbS8wMWMwNmRyDAgCEggvbS8wNndqZkABSAFwAYIBCwj___________8BmAEB&amp;tfu=CmxDalJJV25VMlpHdHJNMVpPY1ZsQlJEbFRiMUZDUnkwdExTMHRMUzF6YlhWa015MXVNa0ZCUVVGQlIzRlpRelpSU0VKMlJrMUJFZ1pJVHpFd01UY2FDZ2lZSkJBQUdnTkRUbGs0SEhDNG1nUT0SAggAIgA&amp;hl=zh-CN&amp;curr=CNY</x:v>
      </x:c>
    </x:row>
    <x:row r="100" ht="42" customHeight="1">
      <x:c r="A100" s="85" t="n">
        <x:f>ROW()-7</x:f>
        <x:v>93</x:v>
      </x:c>
      <x:c r="B100" s="86" t="n">
        <x:v>46298</x:v>
      </x:c>
      <x:c r="C100" s="86" t="n">
        <x:v>46302</x:v>
      </x:c>
      <x:c r="D100" s="87" t="n">
        <x:v>4</x:v>
      </x:c>
      <x:c r="E100" s="88" t="str">
        <x:v>南航</x:v>
      </x:c>
      <x:c r="F100" s="88" t="str">
        <x:v>07:40</x:v>
      </x:c>
      <x:c r="G100" s="88" t="str">
        <x:v>11:10</x:v>
      </x:c>
      <x:c r="H100" s="88" t="str">
        <x:v>上海浦东国际机场</x:v>
      </x:c>
      <x:c r="I100" s="88" t="str">
        <x:v>昆明长水国际机场</x:v>
      </x:c>
      <x:c r="J100" s="88" t="n">
        <x:v>0</x:v>
      </x:c>
      <x:c r="K100" s="88" t="str">
        <x:v>—</x:v>
      </x:c>
      <x:c r="L100" s="88" t="str">
        <x:v>3 小时 30 分钟</x:v>
      </x:c>
      <x:c r="M100" s="89" t="n">
        <x:v>4570</x:v>
      </x:c>
      <x:c r="N100" s="89" t="n">
        <x:v>0</x:v>
      </x:c>
      <x:c r="O100" s="89" t="n">
        <x:f>M100+N100</x:f>
        <x:v>4570</x:v>
      </x:c>
      <x:c r="P100" s="88" t="str">
        <x:f>IF(O100&lt;5000,"是","否")</x:f>
        <x:v>是</x:v>
      </x:c>
      <x:c r="Q100" s="90" t="str">
        <x:v>国内经济舱通常含20kg；出票前须按实际票价等级复核</x:v>
      </x:c>
      <x:c r="R100" s="90" t="str">
        <x:v>该去程对应的最低可订返程组合；具体返程航班需打开来源链接确认</x:v>
      </x:c>
      <x:c r="S100" s="91" t="n">
        <x:v>46267.74517780093</x:v>
      </x:c>
      <x:c r="T100" s="92" t="str">
        <x:v>https://www.google.com/travel/flights?hl=zh-CN&amp;curr=CNY&amp;q=Flights%20from%20Shanghai%20to%20Kunming%20from%202026-10-03%20to%202026-10-07</x:v>
      </x:c>
      <x:c r="U100" s="136" t="n">
        <x:v>46302</x:v>
      </x:c>
      <x:c r="V100" s="90" t="str">
        <x:v>17:10</x:v>
      </x:c>
      <x:c r="W100" s="90" t="str">
        <x:v>昆明长水国际机场</x:v>
      </x:c>
      <x:c r="X100" s="137" t="n">
        <x:v>46302</x:v>
      </x:c>
      <x:c r="Y100" s="90" t="str">
        <x:v>21:45</x:v>
      </x:c>
      <x:c r="Z100" s="90" t="str">
        <x:v>上海浦东国际机场</x:v>
      </x:c>
      <x:c r="AA100" s="90" t="str">
        <x:v>春航</x:v>
      </x:c>
      <x:c r="AB100" s="90" t="n">
        <x:v>0</x:v>
      </x:c>
      <x:c r="AC100" s="90" t="str">
        <x:v>4 小时 35 分钟</x:v>
      </x:c>
      <x:c r="AD100" s="138" t="n">
        <x:v>4570</x:v>
      </x:c>
      <x:c r="AE100" s="90" t="str">
        <x:v>匹配原始往返起价</x:v>
      </x:c>
      <x:c r="AF100" s="92" t="str">
        <x:v>https://www.google.com/travel/flights/search?tfs=CBwQAhpLEgoyMDI2LTEwLTAzIiAKA1BWRxIKMjAyNi0xMC0wMxoDS01HKgJDWjIEMzY3N2oMCAISCC9tLzA2d2pmcg0IAhIJL20vMDFjMDZkGikSCjIwMjYtMTAtMDdqDQgCEgkvbS8wMWMwNmRyDAgCEggvbS8wNndqZkABSAFwAYIBCwj___________8BmAEB&amp;tfu=CmxDalJJVEVvMGRVZFVjWE5mVEZsQlJXeFdWMUZDUnkwdExTMHRMUzB0YzJWaVpXRTBNVUZCUVVGQlIzRlpRelp2UTJSNWIyZEJFZ1pEV2pNMk56Y2FDZ2phSXhBQUdnTkRUbGs0SFhDZGt3UT0SAggAIgA&amp;hl=zh-CN&amp;curr=CNY</x:v>
      </x:c>
    </x:row>
    <x:row r="101" ht="42" customHeight="1">
      <x:c r="A101" s="85" t="n">
        <x:f>ROW()-7</x:f>
        <x:v>94</x:v>
      </x:c>
      <x:c r="B101" s="86" t="n">
        <x:v>46298</x:v>
      </x:c>
      <x:c r="C101" s="86" t="n">
        <x:v>46302</x:v>
      </x:c>
      <x:c r="D101" s="87" t="n">
        <x:v>4</x:v>
      </x:c>
      <x:c r="E101" s="88" t="str">
        <x:v>南航</x:v>
      </x:c>
      <x:c r="F101" s="88" t="str">
        <x:v>14:50</x:v>
      </x:c>
      <x:c r="G101" s="88" t="str">
        <x:v>18:20</x:v>
      </x:c>
      <x:c r="H101" s="88" t="str">
        <x:v>上海浦东国际机场</x:v>
      </x:c>
      <x:c r="I101" s="88" t="str">
        <x:v>昆明长水国际机场</x:v>
      </x:c>
      <x:c r="J101" s="88" t="n">
        <x:v>0</x:v>
      </x:c>
      <x:c r="K101" s="88" t="str">
        <x:v>—</x:v>
      </x:c>
      <x:c r="L101" s="88" t="str">
        <x:v>3 小时 30 分钟</x:v>
      </x:c>
      <x:c r="M101" s="89" t="n">
        <x:v>4570</x:v>
      </x:c>
      <x:c r="N101" s="89" t="n">
        <x:v>0</x:v>
      </x:c>
      <x:c r="O101" s="89" t="n">
        <x:f>M101+N101</x:f>
        <x:v>4570</x:v>
      </x:c>
      <x:c r="P101" s="88" t="str">
        <x:f>IF(O101&lt;5000,"是","否")</x:f>
        <x:v>是</x:v>
      </x:c>
      <x:c r="Q101" s="90" t="str">
        <x:v>国内经济舱通常含20kg；出票前须按实际票价等级复核</x:v>
      </x:c>
      <x:c r="R101" s="90" t="str">
        <x:v>该去程对应的最低可订返程组合；具体返程航班需打开来源链接确认</x:v>
      </x:c>
      <x:c r="S101" s="91" t="n">
        <x:v>46267.74517780093</x:v>
      </x:c>
      <x:c r="T101" s="92" t="str">
        <x:v>https://www.google.com/travel/flights?hl=zh-CN&amp;curr=CNY&amp;q=Flights%20from%20Shanghai%20to%20Kunming%20from%202026-10-03%20to%202026-10-07</x:v>
      </x:c>
      <x:c r="U101" s="136" t="n">
        <x:v>46302</x:v>
      </x:c>
      <x:c r="V101" s="90" t="str">
        <x:v>17:10</x:v>
      </x:c>
      <x:c r="W101" s="90" t="str">
        <x:v>昆明长水国际机场</x:v>
      </x:c>
      <x:c r="X101" s="137" t="n">
        <x:v>46302</x:v>
      </x:c>
      <x:c r="Y101" s="90" t="str">
        <x:v>21:45</x:v>
      </x:c>
      <x:c r="Z101" s="90" t="str">
        <x:v>上海浦东国际机场</x:v>
      </x:c>
      <x:c r="AA101" s="90" t="str">
        <x:v>春航</x:v>
      </x:c>
      <x:c r="AB101" s="90" t="n">
        <x:v>0</x:v>
      </x:c>
      <x:c r="AC101" s="90" t="str">
        <x:v>4 小时 35 分钟</x:v>
      </x:c>
      <x:c r="AD101" s="138" t="n">
        <x:v>4570</x:v>
      </x:c>
      <x:c r="AE101" s="90" t="str">
        <x:v>匹配原始往返起价</x:v>
      </x:c>
      <x:c r="AF101" s="92" t="str">
        <x:v>https://www.google.com/travel/flights/search?tfs=CBwQAhpLEgoyMDI2LTEwLTAzIiAKA1BWRxIKMjAyNi0xMC0wMxoDS01HKgJDWjIEODc1NWoMCAISCC9tLzA2d2pmcg0IAhIJL20vMDFjMDZkGikSCjIwMjYtMTAtMDdqDQgCEgkvbS8wMWMwNmRyDAgCEggvbS8wNndqZkABSAFwAYIBCwj___________8BmAEB&amp;tfu=CmxDalJJV25VMlpHdHJNMVpPY1ZsQlJEbFZlVkZDUnkwdExTMHRMUzF6YlhWa015MXVNa0ZCUVVGQlIzRlpRelp2U1V0T1VUaEJFZ1pEV2pnM05UVWFDZ2phSXhBQUdnTkRUbGs0SFhDZGt3UT0SAggAIgA&amp;hl=zh-CN&amp;curr=CNY</x:v>
      </x:c>
    </x:row>
    <x:row r="102" ht="42" customHeight="1">
      <x:c r="A102" s="85" t="n">
        <x:f>ROW()-7</x:f>
        <x:v>95</x:v>
      </x:c>
      <x:c r="B102" s="86" t="n">
        <x:v>46297</x:v>
      </x:c>
      <x:c r="C102" s="86" t="n">
        <x:v>46302</x:v>
      </x:c>
      <x:c r="D102" s="87" t="n">
        <x:v>5</x:v>
      </x:c>
      <x:c r="E102" s="88" t="str">
        <x:v>东航</x:v>
      </x:c>
      <x:c r="F102" s="88" t="str">
        <x:v>21:30</x:v>
      </x:c>
      <x:c r="G102" s="88" t="str">
        <x:v>00:35 +1</x:v>
      </x:c>
      <x:c r="H102" s="88" t="str">
        <x:v>上海虹桥国际机场</x:v>
      </x:c>
      <x:c r="I102" s="88" t="str">
        <x:v>昆明长水国际机场</x:v>
      </x:c>
      <x:c r="J102" s="88" t="n">
        <x:v>0</x:v>
      </x:c>
      <x:c r="K102" s="88" t="str">
        <x:v>—</x:v>
      </x:c>
      <x:c r="L102" s="88" t="str">
        <x:v>3 小时 5 分钟</x:v>
      </x:c>
      <x:c r="M102" s="89" t="n">
        <x:v>4575</x:v>
      </x:c>
      <x:c r="N102" s="89" t="n">
        <x:v>0</x:v>
      </x:c>
      <x:c r="O102" s="89" t="n">
        <x:f>M102+N102</x:f>
        <x:v>4575</x:v>
      </x:c>
      <x:c r="P102" s="88" t="str">
        <x:f>IF(O102&lt;5000,"是","否")</x:f>
        <x:v>是</x:v>
      </x:c>
      <x:c r="Q102" s="90" t="str">
        <x:v>国内经济舱通常含20kg；出票前须按实际票价等级复核</x:v>
      </x:c>
      <x:c r="R102" s="90" t="str">
        <x:v>该去程对应的最低可订返程组合；具体返程航班需打开来源链接确认</x:v>
      </x:c>
      <x:c r="S102" s="91" t="n">
        <x:v>46267.74517780093</x:v>
      </x:c>
      <x:c r="T102" s="92" t="str">
        <x:v>https://www.google.com/travel/flights?hl=zh-CN&amp;curr=CNY&amp;q=Flights%20from%20Shanghai%20to%20Kunming%20from%202026-10-02%20to%202026-10-07</x:v>
      </x:c>
      <x:c r="U102" s="136" t="n">
        <x:v>46302</x:v>
      </x:c>
      <x:c r="V102" s="90" t="str">
        <x:v>08:00</x:v>
      </x:c>
      <x:c r="W102" s="90" t="str">
        <x:v>昆明长水国际机场</x:v>
      </x:c>
      <x:c r="X102" s="137" t="n">
        <x:v>46302</x:v>
      </x:c>
      <x:c r="Y102" s="90" t="str">
        <x:v>10:55</x:v>
      </x:c>
      <x:c r="Z102" s="90" t="str">
        <x:v>上海虹桥国际机场</x:v>
      </x:c>
      <x:c r="AA102" s="90" t="str">
        <x:v>东航</x:v>
      </x:c>
      <x:c r="AB102" s="90" t="n">
        <x:v>0</x:v>
      </x:c>
      <x:c r="AC102" s="90" t="str">
        <x:v>2 小时 55 分钟</x:v>
      </x:c>
      <x:c r="AD102" s="138"/>
      <x:c r="AE102" s="90" t="str">
        <x:v>当前返程列表无价格，采用排序第一条</x:v>
      </x:c>
      <x:c r="AF102" s="92" t="str">
        <x:v>https://www.google.com/travel/flights/search?tfs=CBwQAhpLEgoyMDI2LTEwLTAyIiAKA1NIQRIKMjAyNi0xMC0wMhoDS01HKgJNVTIENTgxMmoMCAISCC9tLzA2d2pmcg0IAhIJL20vMDFjMDZkGikSCjIwMjYtMTAtMDdqDQgCEgkvbS8wMWMwNmRyDAgCEggvbS8wNndqZkABSAFwAYIBCwj___________8BmAEB&amp;tfu=CmxDalJJTlU4M1RFRndjM05IY25OQlJsZENkbmRDUnkwdExTMHRMUzB0TFhOdFltUm5ORUZCUVVGQlIzRlpRelozU1c5Qk1qUkJFZ1pOVlRVNE1USWFDZ2pmSXhBQUdnTkRUbGs0SEhEb2t3UT0SAggAIgMKATA&amp;hl=zh-CN&amp;curr=CNY</x:v>
      </x:c>
    </x:row>
    <x:row r="103" ht="42" customHeight="1">
      <x:c r="A103" s="85" t="n">
        <x:f>ROW()-7</x:f>
        <x:v>96</x:v>
      </x:c>
      <x:c r="B103" s="86" t="n">
        <x:v>46297</x:v>
      </x:c>
      <x:c r="C103" s="86" t="n">
        <x:v>46303</x:v>
      </x:c>
      <x:c r="D103" s="87" t="n">
        <x:v>6</x:v>
      </x:c>
      <x:c r="E103" s="88" t="str">
        <x:v>东航</x:v>
      </x:c>
      <x:c r="F103" s="88" t="str">
        <x:v>21:30</x:v>
      </x:c>
      <x:c r="G103" s="88" t="str">
        <x:v>00:35 +1</x:v>
      </x:c>
      <x:c r="H103" s="88" t="str">
        <x:v>上海虹桥国际机场</x:v>
      </x:c>
      <x:c r="I103" s="88" t="str">
        <x:v>昆明长水国际机场</x:v>
      </x:c>
      <x:c r="J103" s="88" t="n">
        <x:v>0</x:v>
      </x:c>
      <x:c r="K103" s="88" t="str">
        <x:v>—</x:v>
      </x:c>
      <x:c r="L103" s="88" t="str">
        <x:v>3 小时 5 分钟</x:v>
      </x:c>
      <x:c r="M103" s="89" t="n">
        <x:v>4575</x:v>
      </x:c>
      <x:c r="N103" s="89" t="n">
        <x:v>0</x:v>
      </x:c>
      <x:c r="O103" s="89" t="n">
        <x:f>M103+N103</x:f>
        <x:v>4575</x:v>
      </x:c>
      <x:c r="P103" s="88" t="str">
        <x:f>IF(O103&lt;5000,"是","否")</x:f>
        <x:v>是</x:v>
      </x:c>
      <x:c r="Q103" s="90" t="str">
        <x:v>国内经济舱通常含20kg；出票前须按实际票价等级复核</x:v>
      </x:c>
      <x:c r="R103" s="90" t="str">
        <x:v>该去程对应的最低可订返程组合；具体返程航班需打开来源链接确认</x:v>
      </x:c>
      <x:c r="S103" s="91" t="n">
        <x:v>46267.74517780093</x:v>
      </x:c>
      <x:c r="T103" s="92" t="str">
        <x:v>https://www.google.com/travel/flights?hl=zh-CN&amp;curr=CNY&amp;q=Flights%20from%20Shanghai%20to%20Kunming%20from%202026-10-02%20to%202026-10-08</x:v>
      </x:c>
      <x:c r="U103" s="136" t="n">
        <x:v>46303</x:v>
      </x:c>
      <x:c r="V103" s="90" t="str">
        <x:v>08:00</x:v>
      </x:c>
      <x:c r="W103" s="90" t="str">
        <x:v>昆明长水国际机场</x:v>
      </x:c>
      <x:c r="X103" s="137" t="n">
        <x:v>46303</x:v>
      </x:c>
      <x:c r="Y103" s="90" t="str">
        <x:v>10:55</x:v>
      </x:c>
      <x:c r="Z103" s="90" t="str">
        <x:v>上海虹桥国际机场</x:v>
      </x:c>
      <x:c r="AA103" s="90" t="str">
        <x:v>东航</x:v>
      </x:c>
      <x:c r="AB103" s="90" t="n">
        <x:v>0</x:v>
      </x:c>
      <x:c r="AC103" s="90" t="str">
        <x:v>2 小时 55 分钟</x:v>
      </x:c>
      <x:c r="AD103" s="138"/>
      <x:c r="AE103" s="90" t="str">
        <x:v>当前返程列表无价格，采用排序第一条</x:v>
      </x:c>
      <x:c r="AF103" s="92" t="str">
        <x:v>https://www.google.com/travel/flights/search?tfs=CBwQAhpLEgoyMDI2LTEwLTAyIiAKA1NIQRIKMjAyNi0xMC0wMhoDS01HKgJNVTIENTgxMmoMCAISCC9tLzA2d2pmcg0IAhIJL20vMDFjMDZkGikSCjIwMjYtMTAtMDhqDQgCEgkvbS8wMWMwNmRyDAgCEggvbS8wNndqZkABSAFwAYIBCwj___________8BmAEB&amp;tfu=CmxDalJJVEVvMGRVZFVjWE5mVEZsQlJXeFhVM2RDUnkwdExTMHRMUzB0YzJWaVpXRTBNVUZCUVVGQlIzRlpRelozU0hneFNsTkJFZ1pOVlRVNE1USWFDZ2pmSXhBQUdnTkRUbGs0SEhEb2t3UT0SAggAIgMKATA&amp;hl=zh-CN&amp;curr=CNY</x:v>
      </x:c>
    </x:row>
    <x:row r="104" ht="42" customHeight="1">
      <x:c r="A104" s="85" t="n">
        <x:f>ROW()-7</x:f>
        <x:v>97</x:v>
      </x:c>
      <x:c r="B104" s="86" t="n">
        <x:v>46296</x:v>
      </x:c>
      <x:c r="C104" s="86" t="n">
        <x:v>46301</x:v>
      </x:c>
      <x:c r="D104" s="87" t="n">
        <x:v>5</x:v>
      </x:c>
      <x:c r="E104" s="88" t="str">
        <x:v>东航</x:v>
      </x:c>
      <x:c r="F104" s="88" t="str">
        <x:v>21:30</x:v>
      </x:c>
      <x:c r="G104" s="88" t="str">
        <x:v>00:35 +1</x:v>
      </x:c>
      <x:c r="H104" s="88" t="str">
        <x:v>上海虹桥国际机场</x:v>
      </x:c>
      <x:c r="I104" s="88" t="str">
        <x:v>昆明长水国际机场</x:v>
      </x:c>
      <x:c r="J104" s="88" t="n">
        <x:v>0</x:v>
      </x:c>
      <x:c r="K104" s="88" t="str">
        <x:v>—</x:v>
      </x:c>
      <x:c r="L104" s="88" t="str">
        <x:v>3 小时 5 分钟</x:v>
      </x:c>
      <x:c r="M104" s="89" t="n">
        <x:v>4607</x:v>
      </x:c>
      <x:c r="N104" s="89" t="n">
        <x:v>0</x:v>
      </x:c>
      <x:c r="O104" s="89" t="n">
        <x:f>M104+N104</x:f>
        <x:v>4607</x:v>
      </x:c>
      <x:c r="P104" s="88" t="str">
        <x:f>IF(O104&lt;5000,"是","否")</x:f>
        <x:v>是</x:v>
      </x:c>
      <x:c r="Q104" s="90" t="str">
        <x:v>国内经济舱通常含20kg；出票前须按实际票价等级复核</x:v>
      </x:c>
      <x:c r="R104" s="90" t="str">
        <x:v>该去程对应的最低可订返程组合；具体返程航班需打开来源链接确认</x:v>
      </x:c>
      <x:c r="S104" s="91" t="n">
        <x:v>46267.74517780093</x:v>
      </x:c>
      <x:c r="T104" s="92" t="str">
        <x:v>https://www.google.com/travel/flights?hl=zh-CN&amp;curr=CNY&amp;q=Flights%20from%20Shanghai%20to%20Kunming%20from%202026-10-01%20to%202026-10-06</x:v>
      </x:c>
      <x:c r="U104" s="136" t="n">
        <x:v>46301</x:v>
      </x:c>
      <x:c r="V104" s="90" t="str">
        <x:v>13:00</x:v>
      </x:c>
      <x:c r="W104" s="90" t="str">
        <x:v>昆明长水国际机场</x:v>
      </x:c>
      <x:c r="X104" s="137" t="n">
        <x:v>46301</x:v>
      </x:c>
      <x:c r="Y104" s="90" t="str">
        <x:v>15:55</x:v>
      </x:c>
      <x:c r="Z104" s="90" t="str">
        <x:v>上海虹桥国际机场</x:v>
      </x:c>
      <x:c r="AA104" s="90" t="str">
        <x:v>东航</x:v>
      </x:c>
      <x:c r="AB104" s="90" t="n">
        <x:v>0</x:v>
      </x:c>
      <x:c r="AC104" s="90" t="str">
        <x:v>2 小时 55 分钟</x:v>
      </x:c>
      <x:c r="AD104" s="138" t="n">
        <x:v>7009</x:v>
      </x:c>
      <x:c r="AE104" s="90" t="str">
        <x:v>当前价格已变化，采用当前最低价返程</x:v>
      </x:c>
      <x:c r="AF104" s="92" t="str">
        <x:v>https://www.google.com/travel/flights/search?tfs=CBwQAhpLEgoyMDI2LTEwLTAxIiAKA1NIQRIKMjAyNi0xMC0wMRoDS01HKgJNVTIENTgxMmoMCAISCC9tLzA2d2pmcg0IAhIJL20vMDFjMDZkGikSCjIwMjYtMTAtMDZqDQgCEgkvbS8wMWMwNmRyDAgCEggvbS8wNndqZkABSAFwAYIBCwj___________8BmAEB&amp;tfu=CmxDalJJYTBKcFduQjNPRU4zUjFGQlJYSlNaMmRDUnkwdExTMHRMWE5sY0dReE1TMXVNVUZCUVVGQlIzRlpRemRKUjJWTU56QkJFZ1pOVlRVNE1USWFDZ2poTmhBQUdnTkRUbGs0SFhEZnJnWT0SAggAIgMKATA&amp;hl=zh-CN&amp;curr=CNY</x:v>
      </x:c>
    </x:row>
    <x:row r="105" ht="42" customHeight="1">
      <x:c r="A105" s="85" t="n">
        <x:f>ROW()-7</x:f>
        <x:v>98</x:v>
      </x:c>
      <x:c r="B105" s="86" t="n">
        <x:v>46296</x:v>
      </x:c>
      <x:c r="C105" s="86" t="n">
        <x:v>46303</x:v>
      </x:c>
      <x:c r="D105" s="87" t="n">
        <x:v>7</x:v>
      </x:c>
      <x:c r="E105" s="88" t="str">
        <x:v>吉祥航空</x:v>
      </x:c>
      <x:c r="F105" s="88" t="str">
        <x:v>20:25</x:v>
      </x:c>
      <x:c r="G105" s="88" t="str">
        <x:v>23:45</x:v>
      </x:c>
      <x:c r="H105" s="88" t="str">
        <x:v>上海浦东国际机场</x:v>
      </x:c>
      <x:c r="I105" s="88" t="str">
        <x:v>昆明长水国际机场</x:v>
      </x:c>
      <x:c r="J105" s="88" t="n">
        <x:v>0</x:v>
      </x:c>
      <x:c r="K105" s="88" t="str">
        <x:v>—</x:v>
      </x:c>
      <x:c r="L105" s="88" t="str">
        <x:v>3 小时 20 分钟</x:v>
      </x:c>
      <x:c r="M105" s="89" t="n">
        <x:v>4623</x:v>
      </x:c>
      <x:c r="N105" s="89" t="n">
        <x:v>0</x:v>
      </x:c>
      <x:c r="O105" s="89" t="n">
        <x:f>M105+N105</x:f>
        <x:v>4623</x:v>
      </x:c>
      <x:c r="P105" s="88" t="str">
        <x:f>IF(O105&lt;5000,"是","否")</x:f>
        <x:v>是</x:v>
      </x:c>
      <x:c r="Q105" s="90" t="str">
        <x:v>国内经济舱通常含20kg；出票前须按实际票价等级复核</x:v>
      </x:c>
      <x:c r="R105" s="90" t="str">
        <x:v>该去程对应的最低可订返程组合；具体返程航班需打开来源链接确认</x:v>
      </x:c>
      <x:c r="S105" s="91" t="n">
        <x:v>46267.74517780093</x:v>
      </x:c>
      <x:c r="T105" s="92" t="str">
        <x:v>https://www.google.com/travel/flights?hl=zh-CN&amp;curr=CNY&amp;q=Flights%20from%20Shanghai%20to%20Kunming%20from%202026-10-01%20to%202026-10-08</x:v>
      </x:c>
      <x:c r="U105" s="136" t="n">
        <x:v>46303</x:v>
      </x:c>
      <x:c r="V105" s="90" t="str">
        <x:v>07:10</x:v>
      </x:c>
      <x:c r="W105" s="90" t="str">
        <x:v>昆明长水国际机场</x:v>
      </x:c>
      <x:c r="X105" s="137" t="n">
        <x:v>46303</x:v>
      </x:c>
      <x:c r="Y105" s="90" t="str">
        <x:v>10:20</x:v>
      </x:c>
      <x:c r="Z105" s="90" t="str">
        <x:v>上海浦东国际机场</x:v>
      </x:c>
      <x:c r="AA105" s="90" t="str">
        <x:v>吉祥航空</x:v>
      </x:c>
      <x:c r="AB105" s="90" t="n">
        <x:v>0</x:v>
      </x:c>
      <x:c r="AC105" s="90" t="str">
        <x:v>3 小时 10 分钟</x:v>
      </x:c>
      <x:c r="AD105" s="138"/>
      <x:c r="AE105" s="90" t="str">
        <x:v>当前返程列表无价格，采用排序第一条</x:v>
      </x:c>
      <x:c r="AF105" s="92" t="str">
        <x:v>https://www.google.com/travel/flights/search?tfs=CBwQAhpLEgoyMDI2LTEwLTAxIiAKA1BWRxIKMjAyNi0xMC0wMRoDS01HKgJITzIEMTAxN2oMCAISCC9tLzA2d2pmcg0IAhIJL20vMDFjMDZkGikSCjIwMjYtMTAtMDhqDQgCEgkvbS8wMWMwNmRyDAgCEggvbS8wNndqZkABSAFwAYIBCwj___________8BmAEB&amp;tfu=CmxDalJJVEVWeVNtOXViVTh0ZVZGQlJXNXhObEZDUnkwdExTMHRMUzB0TFMxelpXTmpPVUZCUVVGQlIzRlpRemRKVFRKMVZ6WkJFZ1pJVHpFd01UY2FDZ2l6SGhBQUdnTkRUbGs0SFhDbXhBTT0SAggAIgA&amp;hl=zh-CN&amp;curr=CNY</x:v>
      </x:c>
    </x:row>
    <x:row r="106" ht="42" customHeight="1">
      <x:c r="A106" s="85" t="n">
        <x:f>ROW()-7</x:f>
        <x:v>99</x:v>
      </x:c>
      <x:c r="B106" s="86" t="n">
        <x:v>46296</x:v>
      </x:c>
      <x:c r="C106" s="86" t="n">
        <x:v>46303</x:v>
      </x:c>
      <x:c r="D106" s="87" t="n">
        <x:v>7</x:v>
      </x:c>
      <x:c r="E106" s="88" t="str">
        <x:v>吉祥航空</x:v>
      </x:c>
      <x:c r="F106" s="88" t="str">
        <x:v>18:50</x:v>
      </x:c>
      <x:c r="G106" s="88" t="str">
        <x:v>22:25</x:v>
      </x:c>
      <x:c r="H106" s="88" t="str">
        <x:v>上海浦东国际机场</x:v>
      </x:c>
      <x:c r="I106" s="88" t="str">
        <x:v>昆明长水国际机场</x:v>
      </x:c>
      <x:c r="J106" s="88" t="n">
        <x:v>0</x:v>
      </x:c>
      <x:c r="K106" s="88" t="str">
        <x:v>—</x:v>
      </x:c>
      <x:c r="L106" s="88" t="str">
        <x:v>3 小时 35 分钟</x:v>
      </x:c>
      <x:c r="M106" s="89" t="n">
        <x:v>4670</x:v>
      </x:c>
      <x:c r="N106" s="89" t="n">
        <x:v>0</x:v>
      </x:c>
      <x:c r="O106" s="89" t="n">
        <x:f>M106+N106</x:f>
        <x:v>4670</x:v>
      </x:c>
      <x:c r="P106" s="88" t="str">
        <x:f>IF(O106&lt;5000,"是","否")</x:f>
        <x:v>是</x:v>
      </x:c>
      <x:c r="Q106" s="90" t="str">
        <x:v>国内经济舱通常含20kg；出票前须按实际票价等级复核</x:v>
      </x:c>
      <x:c r="R106" s="90" t="str">
        <x:v>该去程对应的最低可订返程组合；具体返程航班需打开来源链接确认</x:v>
      </x:c>
      <x:c r="S106" s="91" t="n">
        <x:v>46267.74517780093</x:v>
      </x:c>
      <x:c r="T106" s="92" t="str">
        <x:v>https://www.google.com/travel/flights?hl=zh-CN&amp;curr=CNY&amp;q=Flights%20from%20Shanghai%20to%20Kunming%20from%202026-10-01%20to%202026-10-08</x:v>
      </x:c>
      <x:c r="U106" s="136" t="n">
        <x:v>46303</x:v>
      </x:c>
      <x:c r="V106" s="90" t="str">
        <x:v>18:20</x:v>
      </x:c>
      <x:c r="W106" s="90" t="str">
        <x:v>昆明长水国际机场</x:v>
      </x:c>
      <x:c r="X106" s="137" t="n">
        <x:v>46303</x:v>
      </x:c>
      <x:c r="Y106" s="90" t="str">
        <x:v>21:25</x:v>
      </x:c>
      <x:c r="Z106" s="90" t="str">
        <x:v>上海浦东国际机场</x:v>
      </x:c>
      <x:c r="AA106" s="90" t="str">
        <x:v>吉祥航空</x:v>
      </x:c>
      <x:c r="AB106" s="90" t="n">
        <x:v>0</x:v>
      </x:c>
      <x:c r="AC106" s="90" t="str">
        <x:v>3 小时 5 分钟</x:v>
      </x:c>
      <x:c r="AD106" s="138" t="n">
        <x:v>4670</x:v>
      </x:c>
      <x:c r="AE106" s="90" t="str">
        <x:v>匹配原始往返起价</x:v>
      </x:c>
      <x:c r="AF106" s="92" t="str">
        <x:v>https://www.google.com/travel/flights/search?tfs=CBwQAhpLEgoyMDI2LTEwLTAxIiAKA1BWRxIKMjAyNi0xMC0wMRoDS01HKgJITzIENTU2NWoMCAISCC9tLzA2d2pmcg0IAhIJL20vMDFjMDZkGikSCjIwMjYtMTAtMDhqDQgCEgkvbS8wMWMwNmRyDAgCEggvbS8wNndqZkABSAFwAYIBCwj___________8BmAEB&amp;tfu=CmxDalJJTlU5V1JHUmlTbE5GWkVsQlEyRldZMUZDUnkwdExTMHRMUzB0YzJWaVluRXlOa0ZCUVVGQlIzRlpRemRKUjNkcmMxVkJFZ1pJVHpVMU5qVWFDZ2krSkJBQUdnTkRUbGs0SFhEdG5nUT0SAggAIgA&amp;hl=zh-CN&amp;curr=CNY</x:v>
      </x:c>
    </x:row>
    <x:row r="107" ht="42" customHeight="1">
      <x:c r="A107" s="85" t="n">
        <x:f>ROW()-7</x:f>
        <x:v>100</x:v>
      </x:c>
      <x:c r="B107" s="86" t="n">
        <x:v>46296</x:v>
      </x:c>
      <x:c r="C107" s="86" t="n">
        <x:v>46301</x:v>
      </x:c>
      <x:c r="D107" s="87" t="n">
        <x:v>5</x:v>
      </x:c>
      <x:c r="E107" s="88" t="str">
        <x:v>春航</x:v>
      </x:c>
      <x:c r="F107" s="88" t="str">
        <x:v>07:55</x:v>
      </x:c>
      <x:c r="G107" s="88" t="str">
        <x:v>11:20</x:v>
      </x:c>
      <x:c r="H107" s="88" t="str">
        <x:v>上海虹桥国际机场</x:v>
      </x:c>
      <x:c r="I107" s="88" t="str">
        <x:v>昆明长水国际机场</x:v>
      </x:c>
      <x:c r="J107" s="88" t="n">
        <x:v>0</x:v>
      </x:c>
      <x:c r="K107" s="88" t="str">
        <x:v>—</x:v>
      </x:c>
      <x:c r="L107" s="88" t="str">
        <x:v>3 小时 25 分钟</x:v>
      </x:c>
      <x:c r="M107" s="89" t="n">
        <x:v>4360</x:v>
      </x:c>
      <x:c r="N107" s="89" t="n">
        <x:v>350</x:v>
      </x:c>
      <x:c r="O107" s="89" t="n">
        <x:f>M107+N107</x:f>
        <x:v>4710</x:v>
      </x:c>
      <x:c r="P107" s="88" t="str">
        <x:f>IF(O107&lt;5000,"是","否")</x:f>
        <x:v>是</x:v>
      </x:c>
      <x:c r="Q107" s="90" t="str">
        <x:v>春秋低价票可能不含托运；按国内往返20kg保守预留¥350</x:v>
      </x:c>
      <x:c r="R107" s="90" t="str">
        <x:v>该去程对应的最低可订返程组合；具体返程航班需打开来源链接确认</x:v>
      </x:c>
      <x:c r="S107" s="91" t="n">
        <x:v>46267.74517780093</x:v>
      </x:c>
      <x:c r="T107" s="92" t="str">
        <x:v>https://www.google.com/travel/flights?hl=zh-CN&amp;curr=CNY&amp;q=Flights%20from%20Shanghai%20to%20Kunming%20from%202026-10-01%20to%202026-10-06</x:v>
      </x:c>
      <x:c r="U107" s="136" t="n">
        <x:v>46301</x:v>
      </x:c>
      <x:c r="V107" s="90" t="str">
        <x:v>12:45</x:v>
      </x:c>
      <x:c r="W107" s="90" t="str">
        <x:v>昆明长水国际机场</x:v>
      </x:c>
      <x:c r="X107" s="137" t="n">
        <x:v>46301</x:v>
      </x:c>
      <x:c r="Y107" s="90" t="str">
        <x:v>16:00</x:v>
      </x:c>
      <x:c r="Z107" s="90" t="str">
        <x:v>上海虹桥国际机场</x:v>
      </x:c>
      <x:c r="AA107" s="90" t="str">
        <x:v>春航</x:v>
      </x:c>
      <x:c r="AB107" s="90" t="n">
        <x:v>0</x:v>
      </x:c>
      <x:c r="AC107" s="90" t="str">
        <x:v>3 小时 15 分钟</x:v>
      </x:c>
      <x:c r="AD107" s="138" t="n">
        <x:v>4360</x:v>
      </x:c>
      <x:c r="AE107" s="90" t="str">
        <x:v>匹配原始往返起价</x:v>
      </x:c>
      <x:c r="AF107" s="92" t="str">
        <x:v>https://www.google.com/travel/flights/search?tfs=CBwQAhpLEgoyMDI2LTEwLTAxIiAKA1NIQRIKMjAyNi0xMC0wMRoDS01HKgI5QzIEODk1M2oMCAISCC9tLzA2d2pmcg0IAhIJL20vMDFjMDZkGikSCjIwMjYtMTAtMDZqDQgCEgkvbS8wMWMwNmRyDAgCEggvbS8wNndqZkABSAFwAYIBCwj___________8BmAEB&amp;tfu=CmxDalJJV0Raek9XaExUWEpYVGtsQlJXeEtUM2RDUnkwdExTMHRMUzF6WlhSdE9DMXVNVUZCUVVGQlIzRlpRemRKVEVGdWNFZEJFZ1k1UXpnNU5UTWFDZ2lJSWhBQUdnTkRUbGs0SFhEcCtnTT0SAggAIgMSATA&amp;hl=zh-CN&amp;curr=CNY</x:v>
      </x:c>
    </x:row>
    <x:row r="108" ht="42" customHeight="1">
      <x:c r="A108" s="85" t="n">
        <x:f>ROW()-7</x:f>
        <x:v>101</x:v>
      </x:c>
      <x:c r="B108" s="86" t="n">
        <x:v>46297</x:v>
      </x:c>
      <x:c r="C108" s="86" t="n">
        <x:v>46304</x:v>
      </x:c>
      <x:c r="D108" s="87" t="n">
        <x:v>7</x:v>
      </x:c>
      <x:c r="E108" s="88" t="str">
        <x:v>深航</x:v>
      </x:c>
      <x:c r="F108" s="88" t="str">
        <x:v>16:35</x:v>
      </x:c>
      <x:c r="G108" s="88" t="str">
        <x:v>00:55 +1</x:v>
      </x:c>
      <x:c r="H108" s="88" t="str">
        <x:v>上海虹桥国际机场</x:v>
      </x:c>
      <x:c r="I108" s="88" t="str">
        <x:v>昆明长水国际机场</x:v>
      </x:c>
      <x:c r="J108" s="88" t="n">
        <x:v>1</x:v>
      </x:c>
      <x:c r="K108" s="88" t="str">
        <x:v>深圳市的深圳宝安国际机场 / 3 小时 20 分钟</x:v>
      </x:c>
      <x:c r="L108" s="88" t="str">
        <x:v>8 小时 20 分钟</x:v>
      </x:c>
      <x:c r="M108" s="89" t="n">
        <x:v>4720</x:v>
      </x:c>
      <x:c r="N108" s="89" t="n">
        <x:v>0</x:v>
      </x:c>
      <x:c r="O108" s="89" t="n">
        <x:f>M108+N108</x:f>
        <x:v>4720</x:v>
      </x:c>
      <x:c r="P108" s="88" t="str">
        <x:f>IF(O108&lt;5000,"是","否")</x:f>
        <x:v>是</x:v>
      </x:c>
      <x:c r="Q108" s="90" t="str">
        <x:v>国内经济舱通常含20kg；出票前须按实际票价等级复核</x:v>
      </x:c>
      <x:c r="R108" s="90" t="str">
        <x:v>该去程对应的最低可订返程组合；具体返程航班需打开来源链接确认</x:v>
      </x:c>
      <x:c r="S108" s="91" t="n">
        <x:v>46267.74517780093</x:v>
      </x:c>
      <x:c r="T108" s="92" t="str">
        <x:v>https://www.google.com/travel/flights?hl=zh-CN&amp;curr=CNY&amp;q=Flights%20from%20Shanghai%20to%20Kunming%20from%202026-10-02%20to%202026-10-09</x:v>
      </x:c>
      <x:c r="U108" s="136" t="n">
        <x:v>46304</x:v>
      </x:c>
      <x:c r="V108" s="90" t="str">
        <x:v>09:00</x:v>
      </x:c>
      <x:c r="W108" s="90" t="str">
        <x:v>昆明长水国际机场</x:v>
      </x:c>
      <x:c r="X108" s="137" t="n">
        <x:v>46304</x:v>
      </x:c>
      <x:c r="Y108" s="90" t="str">
        <x:v>15:20</x:v>
      </x:c>
      <x:c r="Z108" s="90" t="str">
        <x:v>上海虹桥国际机场</x:v>
      </x:c>
      <x:c r="AA108" s="90" t="str">
        <x:v>深航</x:v>
      </x:c>
      <x:c r="AB108" s="90" t="n">
        <x:v>1</x:v>
      </x:c>
      <x:c r="AC108" s="90" t="str">
        <x:v>6 小时 20 分钟</x:v>
      </x:c>
      <x:c r="AD108" s="138" t="n">
        <x:v>4720</x:v>
      </x:c>
      <x:c r="AE108" s="90" t="str">
        <x:v>匹配原始往返起价</x:v>
      </x:c>
      <x:c r="AF108" s="92" t="str">
        <x:v>https://www.google.com/travel/flights/search?tfs=CBwQAhptEgoyMDI2LTEwLTAyIiAKA1NIQRIKMjAyNi0xMC0wMhoDU1pYKgJaSDIEOTUwNiIgCgNTWlgSCjIwMjYtMTAtMDIaA0tNRyoCWkgyBDk0NTdqDAgCEggvbS8wNndqZnINCAISCS9tLzAxYzA2ZBopEgoyMDI2LTEwLTA5ag0IAhIJL20vMDFjMDZkcgwIAhIIL20vMDZ3amZAAUgBcAGCAQsI____________AZgBAQ&amp;tfu=CnRDalJJWkZWWlJYTm9WSE5zUkc5QlJVeHRVRkZDUnkwdExTMHRMWE50WW1aM09TMXVNVUZCUVVGQlIzRlpSVXhWUzBWR1pubEJFZzFhU0RrMU1EWjhXa2c1TkRVM0dnb0k4Q1FRQUJvRFEwNVpPQjF3MWFRRRICCAAiAA&amp;hl=zh-CN&amp;curr=CNY</x:v>
      </x:c>
    </x:row>
    <x:row r="109" ht="42" customHeight="1">
      <x:c r="A109" s="85" t="n">
        <x:f>ROW()-7</x:f>
        <x:v>102</x:v>
      </x:c>
      <x:c r="B109" s="86" t="n">
        <x:v>46298</x:v>
      </x:c>
      <x:c r="C109" s="86" t="n">
        <x:v>46304</x:v>
      </x:c>
      <x:c r="D109" s="87" t="n">
        <x:v>6</x:v>
      </x:c>
      <x:c r="E109" s="88" t="str">
        <x:v>深航</x:v>
      </x:c>
      <x:c r="F109" s="88" t="str">
        <x:v>16:35</x:v>
      </x:c>
      <x:c r="G109" s="88" t="str">
        <x:v>00:55 +1</x:v>
      </x:c>
      <x:c r="H109" s="88" t="str">
        <x:v>上海虹桥国际机场</x:v>
      </x:c>
      <x:c r="I109" s="88" t="str">
        <x:v>昆明长水国际机场</x:v>
      </x:c>
      <x:c r="J109" s="88" t="n">
        <x:v>1</x:v>
      </x:c>
      <x:c r="K109" s="88" t="str">
        <x:v>深圳市的深圳宝安国际机场 / 3 小时 20 分钟</x:v>
      </x:c>
      <x:c r="L109" s="88" t="str">
        <x:v>8 小时 20 分钟</x:v>
      </x:c>
      <x:c r="M109" s="89" t="n">
        <x:v>4720</x:v>
      </x:c>
      <x:c r="N109" s="89" t="n">
        <x:v>0</x:v>
      </x:c>
      <x:c r="O109" s="89" t="n">
        <x:f>M109+N109</x:f>
        <x:v>4720</x:v>
      </x:c>
      <x:c r="P109" s="88" t="str">
        <x:f>IF(O109&lt;5000,"是","否")</x:f>
        <x:v>是</x:v>
      </x:c>
      <x:c r="Q109" s="90" t="str">
        <x:v>国内经济舱通常含20kg；出票前须按实际票价等级复核</x:v>
      </x:c>
      <x:c r="R109" s="90" t="str">
        <x:v>该去程对应的最低可订返程组合；具体返程航班需打开来源链接确认</x:v>
      </x:c>
      <x:c r="S109" s="91" t="n">
        <x:v>46267.74517780093</x:v>
      </x:c>
      <x:c r="T109" s="92" t="str">
        <x:v>https://www.google.com/travel/flights?hl=zh-CN&amp;curr=CNY&amp;q=Flights%20from%20Shanghai%20to%20Kunming%20from%202026-10-03%20to%202026-10-09</x:v>
      </x:c>
      <x:c r="U109" s="136" t="n">
        <x:v>46304</x:v>
      </x:c>
      <x:c r="V109" s="90" t="str">
        <x:v>09:00</x:v>
      </x:c>
      <x:c r="W109" s="90" t="str">
        <x:v>昆明长水国际机场</x:v>
      </x:c>
      <x:c r="X109" s="137" t="n">
        <x:v>46304</x:v>
      </x:c>
      <x:c r="Y109" s="90" t="str">
        <x:v>15:20</x:v>
      </x:c>
      <x:c r="Z109" s="90" t="str">
        <x:v>上海虹桥国际机场</x:v>
      </x:c>
      <x:c r="AA109" s="90" t="str">
        <x:v>深航</x:v>
      </x:c>
      <x:c r="AB109" s="90" t="n">
        <x:v>1</x:v>
      </x:c>
      <x:c r="AC109" s="90" t="str">
        <x:v>6 小时 20 分钟</x:v>
      </x:c>
      <x:c r="AD109" s="138" t="n">
        <x:v>4720</x:v>
      </x:c>
      <x:c r="AE109" s="90" t="str">
        <x:v>匹配原始往返起价</x:v>
      </x:c>
      <x:c r="AF109" s="92" t="str">
        <x:v>https://www.google.com/travel/flights/search?tfs=CBwQAhptEgoyMDI2LTEwLTAzIiAKA1NIQRIKMjAyNi0xMC0wMxoDU1pYKgJaSDIEOTUwNiIgCgNTWlgSCjIwMjYtMTAtMDMaA0tNRyoCWkgyBDk0NTdqDAgCEggvbS8wNndqZnINCAISCS9tLzAxYzA2ZBopEgoyMDI2LTEwLTA5ag0IAhIJL20vMDFjMDZkcgwIAhIIL20vMDZ3amZAAUgBcAGCAQsI____________AZgBAQ&amp;tfu=CnRDalJJYnpSMU9IcEhkWFk1WVc5QlJqUnFhRkZDUnkwdExTMHRMUzB0TFhObFlteG9OMEZCUVVGQlIzRlpSVXhWUzFZM2FHOUJFZzFhU0RrMU1EWjhXa2c1TkRVM0dnb0k4Q1FRQUJvRFEwNVpPQjF3MWFRRRICCAAiAA&amp;hl=zh-CN&amp;curr=CNY</x:v>
      </x:c>
    </x:row>
    <x:row r="110" ht="42" customHeight="1">
      <x:c r="A110" s="85" t="n">
        <x:f>ROW()-7</x:f>
        <x:v>103</x:v>
      </x:c>
      <x:c r="B110" s="86" t="n">
        <x:v>46299</x:v>
      </x:c>
      <x:c r="C110" s="86" t="n">
        <x:v>46304</x:v>
      </x:c>
      <x:c r="D110" s="87" t="n">
        <x:v>5</x:v>
      </x:c>
      <x:c r="E110" s="88" t="str">
        <x:v>深航</x:v>
      </x:c>
      <x:c r="F110" s="88" t="str">
        <x:v>16:35</x:v>
      </x:c>
      <x:c r="G110" s="88" t="str">
        <x:v>00:55 +1</x:v>
      </x:c>
      <x:c r="H110" s="88" t="str">
        <x:v>上海虹桥国际机场</x:v>
      </x:c>
      <x:c r="I110" s="88" t="str">
        <x:v>昆明长水国际机场</x:v>
      </x:c>
      <x:c r="J110" s="88" t="n">
        <x:v>1</x:v>
      </x:c>
      <x:c r="K110" s="88" t="str">
        <x:v>深圳市的深圳宝安国际机场 / 3 小时 20 分钟</x:v>
      </x:c>
      <x:c r="L110" s="88" t="str">
        <x:v>8 小时 20 分钟</x:v>
      </x:c>
      <x:c r="M110" s="89" t="n">
        <x:v>4720</x:v>
      </x:c>
      <x:c r="N110" s="89" t="n">
        <x:v>0</x:v>
      </x:c>
      <x:c r="O110" s="89" t="n">
        <x:f>M110+N110</x:f>
        <x:v>4720</x:v>
      </x:c>
      <x:c r="P110" s="88" t="str">
        <x:f>IF(O110&lt;5000,"是","否")</x:f>
        <x:v>是</x:v>
      </x:c>
      <x:c r="Q110" s="90" t="str">
        <x:v>国内经济舱通常含20kg；出票前须按实际票价等级复核</x:v>
      </x:c>
      <x:c r="R110" s="90" t="str">
        <x:v>该去程对应的最低可订返程组合；具体返程航班需打开来源链接确认</x:v>
      </x:c>
      <x:c r="S110" s="91" t="n">
        <x:v>46267.74517780093</x:v>
      </x:c>
      <x:c r="T110" s="92" t="str">
        <x:v>https://www.google.com/travel/flights?hl=zh-CN&amp;curr=CNY&amp;q=Flights%20from%20Shanghai%20to%20Kunming%20from%202026-10-04%20to%202026-10-09</x:v>
      </x:c>
      <x:c r="U110" s="136" t="n">
        <x:v>46304</x:v>
      </x:c>
      <x:c r="V110" s="90" t="str">
        <x:v>09:00</x:v>
      </x:c>
      <x:c r="W110" s="90" t="str">
        <x:v>昆明长水国际机场</x:v>
      </x:c>
      <x:c r="X110" s="137" t="n">
        <x:v>46304</x:v>
      </x:c>
      <x:c r="Y110" s="90" t="str">
        <x:v>15:20</x:v>
      </x:c>
      <x:c r="Z110" s="90" t="str">
        <x:v>上海虹桥国际机场</x:v>
      </x:c>
      <x:c r="AA110" s="90" t="str">
        <x:v>深航</x:v>
      </x:c>
      <x:c r="AB110" s="90" t="n">
        <x:v>1</x:v>
      </x:c>
      <x:c r="AC110" s="90" t="str">
        <x:v>6 小时 20 分钟</x:v>
      </x:c>
      <x:c r="AD110" s="138" t="n">
        <x:v>4720</x:v>
      </x:c>
      <x:c r="AE110" s="90" t="str">
        <x:v>匹配原始往返起价</x:v>
      </x:c>
      <x:c r="AF110" s="92" t="str">
        <x:v>https://www.google.com/travel/flights/search?tfs=CBwQAhptEgoyMDI2LTEwLTA0IiAKA1NIQRIKMjAyNi0xMC0wNBoDU1pYKgJaSDIEOTUwNiIgCgNTWlgSCjIwMjYtMTAtMDQaA0tNRyoCWkgyBDk0NTdqDAgCEggvbS8wNndqZnINCAISCS9tLzAxYzA2ZBopEgoyMDI2LTEwLTA5ag0IAhIJL20vMDFjMDZkcgwIAhIIL20vMDZ3amZAAUgBcAGCAQsI____________AZgBAQ&amp;tfu=CnRDalJJYjBOd1MydElWbTlpTW1OQlJERm5kVkZDUnkwdExTMHRMWE50WTNkck55MXVNa0ZCUVVGQlIzRlpSVXhWUzJneFZHbEJFZzFhU0RrMU1EWjhXa2c1TkRVM0dnb0k4Q1FRQUJvRFEwNVpPQjF3MWFRRRICCAAiAA&amp;hl=zh-CN&amp;curr=CNY</x:v>
      </x:c>
    </x:row>
    <x:row r="111" ht="42" customHeight="1">
      <x:c r="A111" s="85" t="n">
        <x:f>ROW()-7</x:f>
        <x:v>104</x:v>
      </x:c>
      <x:c r="B111" s="86" t="n">
        <x:v>46300</x:v>
      </x:c>
      <x:c r="C111" s="86" t="n">
        <x:v>46304</x:v>
      </x:c>
      <x:c r="D111" s="87" t="n">
        <x:v>4</x:v>
      </x:c>
      <x:c r="E111" s="88" t="str">
        <x:v>深航</x:v>
      </x:c>
      <x:c r="F111" s="88" t="str">
        <x:v>16:35</x:v>
      </x:c>
      <x:c r="G111" s="88" t="str">
        <x:v>00:55 +1</x:v>
      </x:c>
      <x:c r="H111" s="88" t="str">
        <x:v>上海虹桥国际机场</x:v>
      </x:c>
      <x:c r="I111" s="88" t="str">
        <x:v>昆明长水国际机场</x:v>
      </x:c>
      <x:c r="J111" s="88" t="n">
        <x:v>1</x:v>
      </x:c>
      <x:c r="K111" s="88" t="str">
        <x:v>深圳市的深圳宝安国际机场 / 3 小时 20 分钟</x:v>
      </x:c>
      <x:c r="L111" s="88" t="str">
        <x:v>8 小时 20 分钟</x:v>
      </x:c>
      <x:c r="M111" s="89" t="n">
        <x:v>4720</x:v>
      </x:c>
      <x:c r="N111" s="89" t="n">
        <x:v>0</x:v>
      </x:c>
      <x:c r="O111" s="89" t="n">
        <x:f>M111+N111</x:f>
        <x:v>4720</x:v>
      </x:c>
      <x:c r="P111" s="88" t="str">
        <x:f>IF(O111&lt;5000,"是","否")</x:f>
        <x:v>是</x:v>
      </x:c>
      <x:c r="Q111" s="90" t="str">
        <x:v>国内经济舱通常含20kg；出票前须按实际票价等级复核</x:v>
      </x:c>
      <x:c r="R111" s="90" t="str">
        <x:v>该去程对应的最低可订返程组合；具体返程航班需打开来源链接确认</x:v>
      </x:c>
      <x:c r="S111" s="91" t="n">
        <x:v>46267.74517780093</x:v>
      </x:c>
      <x:c r="T111" s="92" t="str">
        <x:v>https://www.google.com/travel/flights?hl=zh-CN&amp;curr=CNY&amp;q=Flights%20from%20Shanghai%20to%20Kunming%20from%202026-10-05%20to%202026-10-09</x:v>
      </x:c>
      <x:c r="U111" s="136" t="n">
        <x:v>46304</x:v>
      </x:c>
      <x:c r="V111" s="90" t="str">
        <x:v>09:00</x:v>
      </x:c>
      <x:c r="W111" s="90" t="str">
        <x:v>昆明长水国际机场</x:v>
      </x:c>
      <x:c r="X111" s="137" t="n">
        <x:v>46304</x:v>
      </x:c>
      <x:c r="Y111" s="90" t="str">
        <x:v>15:20</x:v>
      </x:c>
      <x:c r="Z111" s="90" t="str">
        <x:v>上海虹桥国际机场</x:v>
      </x:c>
      <x:c r="AA111" s="90" t="str">
        <x:v>深航</x:v>
      </x:c>
      <x:c r="AB111" s="90" t="n">
        <x:v>1</x:v>
      </x:c>
      <x:c r="AC111" s="90" t="str">
        <x:v>6 小时 20 分钟</x:v>
      </x:c>
      <x:c r="AD111" s="138" t="n">
        <x:v>4720</x:v>
      </x:c>
      <x:c r="AE111" s="90" t="str">
        <x:v>匹配原始往返起价</x:v>
      </x:c>
      <x:c r="AF111" s="92" t="str">
        <x:v>https://www.google.com/travel/flights/search?tfs=CBwQAhptEgoyMDI2LTEwLTA1IiAKA1NIQRIKMjAyNi0xMC0wNRoDU1pYKgJaSDIEOTUwNiIgCgNTWlgSCjIwMjYtMTAtMDUaA0tNRyoCWkgyBDk0NTdqDAgCEggvbS8wNndqZnINCAISCS9tLzAxYzA2ZBopEgoyMDI2LTEwLTA5ag0IAhIJL20vMDFjMDZkcgwIAhIIL20vMDZ3amZAAUgBcAGCAQsI____________AZgBAQ&amp;tfu=CnRDalJJUldWVWVrOVRPSFJGVkRCQlJWVjRTa0ZDUnkwdExTMHRMUzB0TFhObFoyY3lOMEZCUVVGQlIzRlpRemMwUkhNemRYRkJFZzFhU0RrMU1EWjhXa2c1TkRVM0dnb0k4Q1FRQUJvRFEwNVpPQnh3MWFRRRIGCAAgAigBIgA&amp;hl=zh-CN&amp;curr=CNY</x:v>
      </x:c>
    </x:row>
    <x:row r="112" ht="42" customHeight="1">
      <x:c r="A112" s="85" t="n">
        <x:f>ROW()-7</x:f>
        <x:v>105</x:v>
      </x:c>
      <x:c r="B112" s="86" t="n">
        <x:v>46297</x:v>
      </x:c>
      <x:c r="C112" s="86" t="n">
        <x:v>46302</x:v>
      </x:c>
      <x:c r="D112" s="87" t="n">
        <x:v>5</x:v>
      </x:c>
      <x:c r="E112" s="88" t="str">
        <x:v>吉祥航空</x:v>
      </x:c>
      <x:c r="F112" s="88" t="str">
        <x:v>07:40</x:v>
      </x:c>
      <x:c r="G112" s="88" t="str">
        <x:v>11:10</x:v>
      </x:c>
      <x:c r="H112" s="88" t="str">
        <x:v>上海浦东国际机场</x:v>
      </x:c>
      <x:c r="I112" s="88" t="str">
        <x:v>昆明长水国际机场</x:v>
      </x:c>
      <x:c r="J112" s="88" t="n">
        <x:v>0</x:v>
      </x:c>
      <x:c r="K112" s="88" t="str">
        <x:v>—</x:v>
      </x:c>
      <x:c r="L112" s="88" t="str">
        <x:v>3 小时 30 分钟</x:v>
      </x:c>
      <x:c r="M112" s="89" t="n">
        <x:v>4749</x:v>
      </x:c>
      <x:c r="N112" s="89" t="n">
        <x:v>0</x:v>
      </x:c>
      <x:c r="O112" s="89" t="n">
        <x:f>M112+N112</x:f>
        <x:v>4749</x:v>
      </x:c>
      <x:c r="P112" s="88" t="str">
        <x:f>IF(O112&lt;5000,"是","否")</x:f>
        <x:v>是</x:v>
      </x:c>
      <x:c r="Q112" s="90" t="str">
        <x:v>国内经济舱通常含20kg；出票前须按实际票价等级复核</x:v>
      </x:c>
      <x:c r="R112" s="90" t="str">
        <x:v>该去程对应的最低可订返程组合；具体返程航班需打开来源链接确认</x:v>
      </x:c>
      <x:c r="S112" s="91" t="n">
        <x:v>46267.74517780093</x:v>
      </x:c>
      <x:c r="T112" s="92" t="str">
        <x:v>https://www.google.com/travel/flights?hl=zh-CN&amp;curr=CNY&amp;q=Flights%20from%20Shanghai%20to%20Kunming%20from%202026-10-02%20to%202026-10-07</x:v>
      </x:c>
      <x:c r="U112" s="136" t="n">
        <x:v>46302</x:v>
      </x:c>
      <x:c r="V112" s="90" t="str">
        <x:v>12:15</x:v>
      </x:c>
      <x:c r="W112" s="90" t="str">
        <x:v>昆明长水国际机场</x:v>
      </x:c>
      <x:c r="X112" s="137" t="n">
        <x:v>46302</x:v>
      </x:c>
      <x:c r="Y112" s="90" t="str">
        <x:v>15:30</x:v>
      </x:c>
      <x:c r="Z112" s="90" t="str">
        <x:v>上海浦东国际机场</x:v>
      </x:c>
      <x:c r="AA112" s="90" t="str">
        <x:v>南航</x:v>
      </x:c>
      <x:c r="AB112" s="90" t="n">
        <x:v>0</x:v>
      </x:c>
      <x:c r="AC112" s="90" t="str">
        <x:v>3 小时 15 分钟</x:v>
      </x:c>
      <x:c r="AD112" s="138" t="n">
        <x:v>4920</x:v>
      </x:c>
      <x:c r="AE112" s="90" t="str">
        <x:v>当前价格已变化，采用当前最低价返程</x:v>
      </x:c>
      <x:c r="AF112" s="92" t="str">
        <x:v>https://www.google.com/travel/flights/search?tfs=CBwQAhpLEgoyMDI2LTEwLTAyIiAKA1BWRxIKMjAyNi0xMC0wMhoDS01HKgJDWjIEMzY3N2oMCAISCC9tLzA2d2pmcg0IAhIJL20vMDFjMDZkGikSCjIwMjYtMTAtMDdqDQgCEgkvbS8wMWMwNmRyDAgCEggvbS8wNndqZkABSAFwAYIBCwj___________8BmAEB&amp;tfu=CmxDalJJYlhCeE56bGlkak5LY1dkQlJEbFpOV2RDUnkwdExTMHRMUzF6YlhWNE9DMXVNa0ZCUVVGQlIzRlpSVXhWUzFKS04wTkJFZ1pEV2pNMk56Y2FDZ2k0SmhBQUdnTkRUbGs0SFhEMXV3UT0SAggAIgA&amp;hl=zh-CN&amp;curr=CNY</x:v>
      </x:c>
    </x:row>
    <x:row r="113" ht="42" customHeight="1">
      <x:c r="A113" s="85" t="n">
        <x:f>ROW()-7</x:f>
        <x:v>106</x:v>
      </x:c>
      <x:c r="B113" s="86" t="n">
        <x:v>46296</x:v>
      </x:c>
      <x:c r="C113" s="86" t="n">
        <x:v>46300</x:v>
      </x:c>
      <x:c r="D113" s="87" t="n">
        <x:v>4</x:v>
      </x:c>
      <x:c r="E113" s="88" t="str">
        <x:v>吉祥航空</x:v>
      </x:c>
      <x:c r="F113" s="88" t="str">
        <x:v>07:50</x:v>
      </x:c>
      <x:c r="G113" s="88" t="str">
        <x:v>11:10</x:v>
      </x:c>
      <x:c r="H113" s="88" t="str">
        <x:v>上海虹桥国际机场</x:v>
      </x:c>
      <x:c r="I113" s="88" t="str">
        <x:v>昆明长水国际机场</x:v>
      </x:c>
      <x:c r="J113" s="88" t="n">
        <x:v>0</x:v>
      </x:c>
      <x:c r="K113" s="88" t="str">
        <x:v>—</x:v>
      </x:c>
      <x:c r="L113" s="88" t="str">
        <x:v>3 小时 20 分钟</x:v>
      </x:c>
      <x:c r="M113" s="89" t="n">
        <x:v>4764</x:v>
      </x:c>
      <x:c r="N113" s="89" t="n">
        <x:v>0</x:v>
      </x:c>
      <x:c r="O113" s="89" t="n">
        <x:f>M113+N113</x:f>
        <x:v>4764</x:v>
      </x:c>
      <x:c r="P113" s="88" t="str">
        <x:f>IF(O113&lt;5000,"是","否")</x:f>
        <x:v>是</x:v>
      </x:c>
      <x:c r="Q113" s="90" t="str">
        <x:v>国内经济舱通常含20kg；出票前须按实际票价等级复核</x:v>
      </x:c>
      <x:c r="R113" s="90" t="str">
        <x:v>该去程对应的最低可订返程组合；具体返程航班需打开来源链接确认</x:v>
      </x:c>
      <x:c r="S113" s="91" t="n">
        <x:v>46267.74517780093</x:v>
      </x:c>
      <x:c r="T113" s="92" t="str">
        <x:v>https://www.google.com/travel/flights?hl=zh-CN&amp;curr=CNY&amp;q=Flights%20from%20Shanghai%20to%20Kunming%20from%202026-10-01%20to%202026-10-05</x:v>
      </x:c>
      <x:c r="U113" s="136" t="n">
        <x:v>46300</x:v>
      </x:c>
      <x:c r="V113" s="90" t="str">
        <x:v>07:00</x:v>
      </x:c>
      <x:c r="W113" s="90" t="str">
        <x:v>昆明长水国际机场</x:v>
      </x:c>
      <x:c r="X113" s="137" t="n">
        <x:v>46300</x:v>
      </x:c>
      <x:c r="Y113" s="90" t="str">
        <x:v>14:45</x:v>
      </x:c>
      <x:c r="Z113" s="90" t="str">
        <x:v>上海虹桥国际机场</x:v>
      </x:c>
      <x:c r="AA113" s="90" t="str">
        <x:v>国航</x:v>
      </x:c>
      <x:c r="AB113" s="90" t="n">
        <x:v>1</x:v>
      </x:c>
      <x:c r="AC113" s="90" t="str">
        <x:v>7 小时 45 分钟</x:v>
      </x:c>
      <x:c r="AD113" s="138"/>
      <x:c r="AE113" s="90" t="str">
        <x:v>当前返程列表无价格，采用排序第一条</x:v>
      </x:c>
      <x:c r="AF113" s="92" t="str">
        <x:v>https://www.google.com/travel/flights/search?tfs=CBwQAhpLEgoyMDI2LTEwLTAxIiAKA1NIQRIKMjAyNi0xMC0wMRoDS01HKgJITzIEMTEyMWoMCAISCC9tLzA2d2pmcg0IAhIJL20vMDFjMDZkGikSCjIwMjYtMTAtMDVqDQgCEgkvbS8wMWMwNmRyDAgCEggvbS8wNndqZkABSAFwAYIBCwj___________8BmAEB&amp;tfu=CmxDalJJYzJVMFgxRk5PR1JrWVZsQlJERldOWGRDUnkwdExTMHRMUzB0TFMxemJYUjVOa0ZCUVVGQlIzRlpRemxGU0RnMGFYVkJFZ1pJVHpFeE1qRWFDZ2llSlJBQUdnTkRUbGs0SEhDQ3FnUT0SAggAIgA&amp;hl=zh-CN&amp;curr=CNY</x:v>
      </x:c>
    </x:row>
    <x:row r="114" ht="42" customHeight="1">
      <x:c r="A114" s="85" t="n">
        <x:f>ROW()-7</x:f>
        <x:v>107</x:v>
      </x:c>
      <x:c r="B114" s="86" t="n">
        <x:v>46297</x:v>
      </x:c>
      <x:c r="C114" s="86" t="n">
        <x:v>46302</x:v>
      </x:c>
      <x:c r="D114" s="87" t="n">
        <x:v>5</x:v>
      </x:c>
      <x:c r="E114" s="88" t="str">
        <x:v>东航</x:v>
      </x:c>
      <x:c r="F114" s="88" t="str">
        <x:v>17:30</x:v>
      </x:c>
      <x:c r="G114" s="88" t="str">
        <x:v>20:45</x:v>
      </x:c>
      <x:c r="H114" s="88" t="str">
        <x:v>上海虹桥国际机场</x:v>
      </x:c>
      <x:c r="I114" s="88" t="str">
        <x:v>昆明长水国际机场</x:v>
      </x:c>
      <x:c r="J114" s="88" t="n">
        <x:v>0</x:v>
      </x:c>
      <x:c r="K114" s="88" t="str">
        <x:v>—</x:v>
      </x:c>
      <x:c r="L114" s="88" t="str">
        <x:v>3 小时 15 分钟</x:v>
      </x:c>
      <x:c r="M114" s="89" t="n">
        <x:v>4807</x:v>
      </x:c>
      <x:c r="N114" s="89" t="n">
        <x:v>0</x:v>
      </x:c>
      <x:c r="O114" s="89" t="n">
        <x:f>M114+N114</x:f>
        <x:v>4807</x:v>
      </x:c>
      <x:c r="P114" s="88" t="str">
        <x:f>IF(O114&lt;5000,"是","否")</x:f>
        <x:v>是</x:v>
      </x:c>
      <x:c r="Q114" s="90" t="str">
        <x:v>国内经济舱通常含20kg；出票前须按实际票价等级复核</x:v>
      </x:c>
      <x:c r="R114" s="90" t="str">
        <x:v>该去程对应的最低可订返程组合；具体返程航班需打开来源链接确认</x:v>
      </x:c>
      <x:c r="S114" s="91" t="n">
        <x:v>46267.74517780093</x:v>
      </x:c>
      <x:c r="T114" s="92" t="str">
        <x:v>https://www.google.com/travel/flights?hl=zh-CN&amp;curr=CNY&amp;q=Flights%20from%20Shanghai%20to%20Kunming%20from%202026-10-02%20to%202026-10-07</x:v>
      </x:c>
      <x:c r="U114" s="136" t="n">
        <x:v>46302</x:v>
      </x:c>
      <x:c r="V114" s="90" t="str">
        <x:v>20:30</x:v>
      </x:c>
      <x:c r="W114" s="90" t="str">
        <x:v>昆明长水国际机场</x:v>
      </x:c>
      <x:c r="X114" s="137" t="n">
        <x:v>46302</x:v>
      </x:c>
      <x:c r="Y114" s="90" t="str">
        <x:v>23:25</x:v>
      </x:c>
      <x:c r="Z114" s="90" t="str">
        <x:v>上海虹桥国际机场</x:v>
      </x:c>
      <x:c r="AA114" s="90" t="str">
        <x:v>东航</x:v>
      </x:c>
      <x:c r="AB114" s="90" t="n">
        <x:v>0</x:v>
      </x:c>
      <x:c r="AC114" s="90" t="str">
        <x:v>2 小时 55 分钟</x:v>
      </x:c>
      <x:c r="AD114" s="138" t="n">
        <x:v>4807</x:v>
      </x:c>
      <x:c r="AE114" s="90" t="str">
        <x:v>匹配原始往返起价</x:v>
      </x:c>
      <x:c r="AF114" s="92" t="str">
        <x:v>https://www.google.com/travel/flights/search?tfs=CBwQAhpLEgoyMDI2LTEwLTAyIiAKA1NIQRIKMjAyNi0xMC0wMhoDS01HKgJNVTIENTgxMGoMCAISCC9tLzA2d2pmcg0IAhIJL20vMDFjMDZkGikSCjIwMjYtMTAtMDdqDQgCEgkvbS8wMWMwNmRyDAgCEggvbS8wNndqZkABSAFwAYIBCwj___________8BmAEB&amp;tfu=CmxDalJJYlhCeE56bGlkak5LY1dkQlJESTJTMUZDUnkwdExTMHRMUzF6YlhWNE9DMXVNa0ZCUVVGQlIzRlpRemc0UVdGMWMxbEJFZ1pOVlRVNE1UQWFDZ2pISlJBQUdnTkRUbGs0SFhEa3JnUT0SAggAIgA&amp;hl=zh-CN&amp;curr=CNY</x:v>
      </x:c>
    </x:row>
    <x:row r="115" ht="42" customHeight="1">
      <x:c r="A115" s="85" t="n">
        <x:f>ROW()-7</x:f>
        <x:v>108</x:v>
      </x:c>
      <x:c r="B115" s="86" t="n">
        <x:v>46296</x:v>
      </x:c>
      <x:c r="C115" s="86" t="n">
        <x:v>46301</x:v>
      </x:c>
      <x:c r="D115" s="87" t="n">
        <x:v>5</x:v>
      </x:c>
      <x:c r="E115" s="88" t="str">
        <x:v>吉祥航空</x:v>
      </x:c>
      <x:c r="F115" s="88" t="str">
        <x:v>14:25</x:v>
      </x:c>
      <x:c r="G115" s="88" t="str">
        <x:v>17:40</x:v>
      </x:c>
      <x:c r="H115" s="88" t="str">
        <x:v>上海虹桥国际机场</x:v>
      </x:c>
      <x:c r="I115" s="88" t="str">
        <x:v>昆明长水国际机场</x:v>
      </x:c>
      <x:c r="J115" s="88" t="n">
        <x:v>0</x:v>
      </x:c>
      <x:c r="K115" s="88" t="str">
        <x:v>—</x:v>
      </x:c>
      <x:c r="L115" s="88" t="str">
        <x:v>3 小时 15 分钟</x:v>
      </x:c>
      <x:c r="M115" s="89" t="n">
        <x:v>4815</x:v>
      </x:c>
      <x:c r="N115" s="89" t="n">
        <x:v>0</x:v>
      </x:c>
      <x:c r="O115" s="89" t="n">
        <x:f>M115+N115</x:f>
        <x:v>4815</x:v>
      </x:c>
      <x:c r="P115" s="88" t="str">
        <x:f>IF(O115&lt;5000,"是","否")</x:f>
        <x:v>是</x:v>
      </x:c>
      <x:c r="Q115" s="90" t="str">
        <x:v>国内经济舱通常含20kg；出票前须按实际票价等级复核</x:v>
      </x:c>
      <x:c r="R115" s="90" t="str">
        <x:v>该去程对应的最低可订返程组合；具体返程航班需打开来源链接确认</x:v>
      </x:c>
      <x:c r="S115" s="91" t="n">
        <x:v>46267.74517780093</x:v>
      </x:c>
      <x:c r="T115" s="92" t="str">
        <x:v>https://www.google.com/travel/flights?hl=zh-CN&amp;curr=CNY&amp;q=Flights%20from%20Shanghai%20to%20Kunming%20from%202026-10-01%20to%202026-10-06</x:v>
      </x:c>
      <x:c r="U115" s="136" t="n">
        <x:v>46301</x:v>
      </x:c>
      <x:c r="V115" s="90" t="str">
        <x:v>12:15</x:v>
      </x:c>
      <x:c r="W115" s="90" t="str">
        <x:v>昆明长水国际机场</x:v>
      </x:c>
      <x:c r="X115" s="137" t="n">
        <x:v>46301</x:v>
      </x:c>
      <x:c r="Y115" s="90" t="str">
        <x:v>15:20</x:v>
      </x:c>
      <x:c r="Z115" s="90" t="str">
        <x:v>上海虹桥国际机场</x:v>
      </x:c>
      <x:c r="AA115" s="90" t="str">
        <x:v>吉祥航空</x:v>
      </x:c>
      <x:c r="AB115" s="90" t="n">
        <x:v>0</x:v>
      </x:c>
      <x:c r="AC115" s="90" t="str">
        <x:v>3 小时 5 分钟</x:v>
      </x:c>
      <x:c r="AD115" s="138" t="n">
        <x:v>4814</x:v>
      </x:c>
      <x:c r="AE115" s="90" t="str">
        <x:v>当前价格已变化，采用当前最低价返程</x:v>
      </x:c>
      <x:c r="AF115" s="92" t="str">
        <x:v>https://www.google.com/travel/flights/search?tfs=CBwQAhpLEgoyMDI2LTEwLTAxIiAKA1NIQRIKMjAyNi0xMC0wMRoDS01HKgJITzIEMTA4M2oMCAISCC9tLzA2d2pmcg0IAhIJL20vMDFjMDZkGikSCjIwMjYtMTAtMDZqDQgCEgkvbS8wMWMwNmRyDAgCEggvbS8wNndqZkABSAFwAYIBCwj___________8BmAEB&amp;tfu=CmxDalJJZEU5VWJEQndRbVpTWVhkQlIyRXdUa0ZDUnkwdExTMHRMUzB0YzJWaVozSXpNMEZCUVVGQlIzRlpRemcwVDFWbFJGbEJFZ1pJVHpFd09ETWFDZ2pPSlJBQUdnTkRUbGs0SFhETXJ3UT0SAggAIgMSATA&amp;hl=zh-CN&amp;curr=CNY</x:v>
      </x:c>
    </x:row>
    <x:row r="116" ht="42" customHeight="1">
      <x:c r="A116" s="85" t="n">
        <x:f>ROW()-7</x:f>
        <x:v>109</x:v>
      </x:c>
      <x:c r="B116" s="86" t="n">
        <x:v>46296</x:v>
      </x:c>
      <x:c r="C116" s="86" t="n">
        <x:v>46302</x:v>
      </x:c>
      <x:c r="D116" s="87" t="n">
        <x:v>6</x:v>
      </x:c>
      <x:c r="E116" s="88" t="str">
        <x:v>吉祥航空</x:v>
      </x:c>
      <x:c r="F116" s="88" t="str">
        <x:v>14:25</x:v>
      </x:c>
      <x:c r="G116" s="88" t="str">
        <x:v>17:40</x:v>
      </x:c>
      <x:c r="H116" s="88" t="str">
        <x:v>上海虹桥国际机场</x:v>
      </x:c>
      <x:c r="I116" s="88" t="str">
        <x:v>昆明长水国际机场</x:v>
      </x:c>
      <x:c r="J116" s="88" t="n">
        <x:v>0</x:v>
      </x:c>
      <x:c r="K116" s="88" t="str">
        <x:v>—</x:v>
      </x:c>
      <x:c r="L116" s="88" t="str">
        <x:v>3 小时 15 分钟</x:v>
      </x:c>
      <x:c r="M116" s="89" t="n">
        <x:v>4815</x:v>
      </x:c>
      <x:c r="N116" s="89" t="n">
        <x:v>0</x:v>
      </x:c>
      <x:c r="O116" s="89" t="n">
        <x:f>M116+N116</x:f>
        <x:v>4815</x:v>
      </x:c>
      <x:c r="P116" s="88" t="str">
        <x:f>IF(O116&lt;5000,"是","否")</x:f>
        <x:v>是</x:v>
      </x:c>
      <x:c r="Q116" s="90" t="str">
        <x:v>国内经济舱通常含20kg；出票前须按实际票价等级复核</x:v>
      </x:c>
      <x:c r="R116" s="90" t="str">
        <x:v>该去程对应的最低可订返程组合；具体返程航班需打开来源链接确认</x:v>
      </x:c>
      <x:c r="S116" s="91" t="n">
        <x:v>46267.74517780093</x:v>
      </x:c>
      <x:c r="T116" s="92" t="str">
        <x:v>https://www.google.com/travel/flights?hl=zh-CN&amp;curr=CNY&amp;q=Flights%20from%20Shanghai%20to%20Kunming%20from%202026-10-01%20to%202026-10-07</x:v>
      </x:c>
      <x:c r="U116" s="136" t="n">
        <x:v>46302</x:v>
      </x:c>
      <x:c r="V116" s="90" t="str">
        <x:v>12:15</x:v>
      </x:c>
      <x:c r="W116" s="90" t="str">
        <x:v>昆明长水国际机场</x:v>
      </x:c>
      <x:c r="X116" s="137" t="n">
        <x:v>46302</x:v>
      </x:c>
      <x:c r="Y116" s="90" t="str">
        <x:v>15:20</x:v>
      </x:c>
      <x:c r="Z116" s="90" t="str">
        <x:v>上海虹桥国际机场</x:v>
      </x:c>
      <x:c r="AA116" s="90" t="str">
        <x:v>吉祥航空</x:v>
      </x:c>
      <x:c r="AB116" s="90" t="n">
        <x:v>0</x:v>
      </x:c>
      <x:c r="AC116" s="90" t="str">
        <x:v>3 小时 5 分钟</x:v>
      </x:c>
      <x:c r="AD116" s="138" t="n">
        <x:v>4814</x:v>
      </x:c>
      <x:c r="AE116" s="90" t="str">
        <x:v>当前价格已变化，采用当前最低价返程</x:v>
      </x:c>
      <x:c r="AF116" s="92" t="str">
        <x:v>https://www.google.com/travel/flights/search?tfs=CBwQAhpLEgoyMDI2LTEwLTAxIiAKA1NIQRIKMjAyNi0xMC0wMRoDS01HKgJITzIEMTA4M2oMCAISCC9tLzA2d2pmcg0IAhIJL20vMDFjMDZkGikSCjIwMjYtMTAtMDdqDQgCEgkvbS8wMWMwNmRyDAgCEggvbS8wNndqZkABSAFwAYIBCwj___________8BmAEB&amp;tfu=CmxDalJJUjJOcVVEZzBWMGRIYlVWQlJXNVFjMUZDUnkwdExTMHRMUzB0YzJWaVluVXpOVUZCUVVGQlIzRlpRemx2UkZsMlRqQkJFZ1pJVHpFd09ETWFDZ2pPSlJBQUdnTkRUbGs0SEhETXJ3UT0SAggAIgMSATA&amp;hl=zh-CN&amp;curr=CNY</x:v>
      </x:c>
    </x:row>
    <x:row r="117" ht="42" customHeight="1">
      <x:c r="A117" s="85" t="n">
        <x:f>ROW()-7</x:f>
        <x:v>110</x:v>
      </x:c>
      <x:c r="B117" s="86" t="n">
        <x:v>46297</x:v>
      </x:c>
      <x:c r="C117" s="86" t="n">
        <x:v>46302</x:v>
      </x:c>
      <x:c r="D117" s="87" t="n">
        <x:v>5</x:v>
      </x:c>
      <x:c r="E117" s="88" t="str">
        <x:v>吉祥航空</x:v>
      </x:c>
      <x:c r="F117" s="88" t="str">
        <x:v>07:50</x:v>
      </x:c>
      <x:c r="G117" s="88" t="str">
        <x:v>11:10</x:v>
      </x:c>
      <x:c r="H117" s="88" t="str">
        <x:v>上海虹桥国际机场</x:v>
      </x:c>
      <x:c r="I117" s="88" t="str">
        <x:v>昆明长水国际机场</x:v>
      </x:c>
      <x:c r="J117" s="88" t="n">
        <x:v>0</x:v>
      </x:c>
      <x:c r="K117" s="88" t="str">
        <x:v>—</x:v>
      </x:c>
      <x:c r="L117" s="88" t="str">
        <x:v>3 小时 20 分钟</x:v>
      </x:c>
      <x:c r="M117" s="89" t="n">
        <x:v>4815</x:v>
      </x:c>
      <x:c r="N117" s="89" t="n">
        <x:v>0</x:v>
      </x:c>
      <x:c r="O117" s="89" t="n">
        <x:f>M117+N117</x:f>
        <x:v>4815</x:v>
      </x:c>
      <x:c r="P117" s="88" t="str">
        <x:f>IF(O117&lt;5000,"是","否")</x:f>
        <x:v>是</x:v>
      </x:c>
      <x:c r="Q117" s="90" t="str">
        <x:v>国内经济舱通常含20kg；出票前须按实际票价等级复核</x:v>
      </x:c>
      <x:c r="R117" s="90" t="str">
        <x:v>该去程对应的最低可订返程组合；具体返程航班需打开来源链接确认</x:v>
      </x:c>
      <x:c r="S117" s="91" t="n">
        <x:v>46267.74517780093</x:v>
      </x:c>
      <x:c r="T117" s="92" t="str">
        <x:v>https://www.google.com/travel/flights?hl=zh-CN&amp;curr=CNY&amp;q=Flights%20from%20Shanghai%20to%20Kunming%20from%202026-10-02%20to%202026-10-07</x:v>
      </x:c>
      <x:c r="U117" s="136" t="n">
        <x:v>46302</x:v>
      </x:c>
      <x:c r="V117" s="90" t="str">
        <x:v>06:30</x:v>
      </x:c>
      <x:c r="W117" s="90" t="str">
        <x:v>昆明长水国际机场</x:v>
      </x:c>
      <x:c r="X117" s="137" t="n">
        <x:v>46302</x:v>
      </x:c>
      <x:c r="Y117" s="90" t="str">
        <x:v>13:35</x:v>
      </x:c>
      <x:c r="Z117" s="90" t="str">
        <x:v>上海虹桥国际机场</x:v>
      </x:c>
      <x:c r="AA117" s="90" t="str">
        <x:v>川航和吉祥航空</x:v>
      </x:c>
      <x:c r="AB117" s="90" t="n">
        <x:v>1</x:v>
      </x:c>
      <x:c r="AC117" s="90" t="str">
        <x:v>7 小时 5 分钟</x:v>
      </x:c>
      <x:c r="AD117" s="138"/>
      <x:c r="AE117" s="90" t="str">
        <x:v>当前返程列表无价格，采用排序第一条</x:v>
      </x:c>
      <x:c r="AF117" s="92" t="str">
        <x:v>https://www.google.com/travel/flights/search?tfs=CBwQAhpLEgoyMDI2LTEwLTAyIiAKA1NIQRIKMjAyNi0xMC0wMhoDS01HKgJITzIEMTEyMWoMCAISCC9tLzA2d2pmcg0IAhIJL20vMDFjMDZkGikSCjIwMjYtMTAtMDdqDQgCEgkvbS8wMWMwNmRyDAgCEggvbS8wNndqZkABSAFwAYIBCwj___________8BmAEB&amp;tfu=CmxDalJJWmsxS2JWQnVWblJPWkc5QlJEZHdOM2RDUnkwdExTMHRMWE50ZFdNeU5DMXVNa0ZCUVVGQlIzRlpRemx2UkdwbFpVMUJFZ1pJVHpFeE1qRWFDZ2pPSlJBQUdnTkRUbGs0SEhETXJ3UT0SAggAIgMSATA&amp;hl=zh-CN&amp;curr=CNY</x:v>
      </x:c>
    </x:row>
    <x:row r="118" ht="42" customHeight="1">
      <x:c r="A118" s="85" t="n">
        <x:f>ROW()-7</x:f>
        <x:v>111</x:v>
      </x:c>
      <x:c r="B118" s="86" t="n">
        <x:v>46298</x:v>
      </x:c>
      <x:c r="C118" s="86" t="n">
        <x:v>46303</x:v>
      </x:c>
      <x:c r="D118" s="87" t="n">
        <x:v>5</x:v>
      </x:c>
      <x:c r="E118" s="88" t="str">
        <x:v>深航</x:v>
      </x:c>
      <x:c r="F118" s="88" t="str">
        <x:v>12:00</x:v>
      </x:c>
      <x:c r="G118" s="88" t="str">
        <x:v>00:55 +1</x:v>
      </x:c>
      <x:c r="H118" s="88" t="str">
        <x:v>上海浦东国际机场</x:v>
      </x:c>
      <x:c r="I118" s="88" t="str">
        <x:v>昆明长水国际机场</x:v>
      </x:c>
      <x:c r="J118" s="88" t="n">
        <x:v>1</x:v>
      </x:c>
      <x:c r="K118" s="88" t="str">
        <x:v>深圳市的深圳宝安国际机场 / 7 小时 55 分钟</x:v>
      </x:c>
      <x:c r="L118" s="88" t="str">
        <x:v>12 小时 55 分钟</x:v>
      </x:c>
      <x:c r="M118" s="89" t="n">
        <x:v>4820</x:v>
      </x:c>
      <x:c r="N118" s="89" t="n">
        <x:v>0</x:v>
      </x:c>
      <x:c r="O118" s="89" t="n">
        <x:f>M118+N118</x:f>
        <x:v>4820</x:v>
      </x:c>
      <x:c r="P118" s="88" t="str">
        <x:f>IF(O118&lt;5000,"是","否")</x:f>
        <x:v>是</x:v>
      </x:c>
      <x:c r="Q118" s="90" t="str">
        <x:v>国内经济舱通常含20kg；出票前须按实际票价等级复核</x:v>
      </x:c>
      <x:c r="R118" s="90" t="str">
        <x:v>该去程对应的最低可订返程组合；具体返程航班需打开来源链接确认</x:v>
      </x:c>
      <x:c r="S118" s="91" t="n">
        <x:v>46267.74517780093</x:v>
      </x:c>
      <x:c r="T118" s="92" t="str">
        <x:v>https://www.google.com/travel/flights?hl=zh-CN&amp;curr=CNY&amp;q=Flights%20from%20Shanghai%20to%20Kunming%20from%202026-10-03%20to%202026-10-08</x:v>
      </x:c>
      <x:c r="U118" s="136" t="n">
        <x:v>46303</x:v>
      </x:c>
      <x:c r="V118" s="90" t="str">
        <x:v>12:15</x:v>
      </x:c>
      <x:c r="W118" s="90" t="str">
        <x:v>昆明长水国际机场</x:v>
      </x:c>
      <x:c r="X118" s="137" t="n">
        <x:v>46303</x:v>
      </x:c>
      <x:c r="Y118" s="90" t="str">
        <x:v>15:30</x:v>
      </x:c>
      <x:c r="Z118" s="90" t="str">
        <x:v>上海浦东国际机场</x:v>
      </x:c>
      <x:c r="AA118" s="90" t="str">
        <x:v>南航</x:v>
      </x:c>
      <x:c r="AB118" s="90" t="n">
        <x:v>0</x:v>
      </x:c>
      <x:c r="AC118" s="90" t="str">
        <x:v>3 小时 15 分钟</x:v>
      </x:c>
      <x:c r="AD118" s="138" t="n">
        <x:v>4820</x:v>
      </x:c>
      <x:c r="AE118" s="90" t="str">
        <x:v>匹配原始往返起价</x:v>
      </x:c>
      <x:c r="AF118" s="92" t="str">
        <x:v>https://www.google.com/travel/flights/search?tfs=CBwQAhptEgoyMDI2LTEwLTAzIiAKA1BWRxIKMjAyNi0xMC0wMxoDU1pYKgJaSDIEOTUxNCIgCgNTWlgSCjIwMjYtMTAtMDMaA0tNRyoCWkgyBDk0NTdqDAgCEggvbS8wNndqZnINCAISCS9tLzAxYzA2ZBopEgoyMDI2LTEwLTA4ag0IAhIJL20vMDFjMDZkcgwIAhIIL20vMDZ3amZAAUgBcAGCAQsI____________AZgBAQ&amp;tfu=CnRDalJJWkZWWlJYTm9WSE5zUkc5QlJVVnZWSGRDUnkwdExTMHRMWE50WW1aM09TMXVNVUZCUVVGQlIzRlpRemx6UWpSSlNFVkJFZzFhU0RrMU1UUjhXa2c1TkRVM0dnb0kxQ1VRQUJvRFEwNVpPQnh3cGJBRRIGCAAgAigBIgA&amp;hl=zh-CN&amp;curr=CNY</x:v>
      </x:c>
    </x:row>
    <x:row r="119" ht="42" customHeight="1">
      <x:c r="A119" s="85" t="n">
        <x:f>ROW()-7</x:f>
        <x:v>112</x:v>
      </x:c>
      <x:c r="B119" s="86" t="n">
        <x:v>46299</x:v>
      </x:c>
      <x:c r="C119" s="86" t="n">
        <x:v>46303</x:v>
      </x:c>
      <x:c r="D119" s="87" t="n">
        <x:v>4</x:v>
      </x:c>
      <x:c r="E119" s="88" t="str">
        <x:v>深航</x:v>
      </x:c>
      <x:c r="F119" s="88" t="str">
        <x:v>12:00</x:v>
      </x:c>
      <x:c r="G119" s="88" t="str">
        <x:v>00:55 +1</x:v>
      </x:c>
      <x:c r="H119" s="88" t="str">
        <x:v>上海浦东国际机场</x:v>
      </x:c>
      <x:c r="I119" s="88" t="str">
        <x:v>昆明长水国际机场</x:v>
      </x:c>
      <x:c r="J119" s="88" t="n">
        <x:v>1</x:v>
      </x:c>
      <x:c r="K119" s="88" t="str">
        <x:v>深圳市的深圳宝安国际机场 / 7 小时 55 分钟</x:v>
      </x:c>
      <x:c r="L119" s="88" t="str">
        <x:v>12 小时 55 分钟</x:v>
      </x:c>
      <x:c r="M119" s="89" t="n">
        <x:v>4820</x:v>
      </x:c>
      <x:c r="N119" s="89" t="n">
        <x:v>0</x:v>
      </x:c>
      <x:c r="O119" s="89" t="n">
        <x:f>M119+N119</x:f>
        <x:v>4820</x:v>
      </x:c>
      <x:c r="P119" s="88" t="str">
        <x:f>IF(O119&lt;5000,"是","否")</x:f>
        <x:v>是</x:v>
      </x:c>
      <x:c r="Q119" s="90" t="str">
        <x:v>国内经济舱通常含20kg；出票前须按实际票价等级复核</x:v>
      </x:c>
      <x:c r="R119" s="90" t="str">
        <x:v>该去程对应的最低可订返程组合；具体返程航班需打开来源链接确认</x:v>
      </x:c>
      <x:c r="S119" s="91" t="n">
        <x:v>46267.74517780093</x:v>
      </x:c>
      <x:c r="T119" s="92" t="str">
        <x:v>https://www.google.com/travel/flights?hl=zh-CN&amp;curr=CNY&amp;q=Flights%20from%20Shanghai%20to%20Kunming%20from%202026-10-04%20to%202026-10-08</x:v>
      </x:c>
      <x:c r="U119" s="136" t="n">
        <x:v>46303</x:v>
      </x:c>
      <x:c r="V119" s="90" t="str">
        <x:v>12:15</x:v>
      </x:c>
      <x:c r="W119" s="90" t="str">
        <x:v>昆明长水国际机场</x:v>
      </x:c>
      <x:c r="X119" s="137" t="n">
        <x:v>46303</x:v>
      </x:c>
      <x:c r="Y119" s="90" t="str">
        <x:v>15:30</x:v>
      </x:c>
      <x:c r="Z119" s="90" t="str">
        <x:v>上海浦东国际机场</x:v>
      </x:c>
      <x:c r="AA119" s="90" t="str">
        <x:v>南航</x:v>
      </x:c>
      <x:c r="AB119" s="90" t="n">
        <x:v>0</x:v>
      </x:c>
      <x:c r="AC119" s="90" t="str">
        <x:v>3 小时 15 分钟</x:v>
      </x:c>
      <x:c r="AD119" s="138" t="n">
        <x:v>4820</x:v>
      </x:c>
      <x:c r="AE119" s="90" t="str">
        <x:v>匹配原始往返起价</x:v>
      </x:c>
      <x:c r="AF119" s="92" t="str">
        <x:v>https://www.google.com/travel/flights/search?tfs=CBwQAhptEgoyMDI2LTEwLTA0IiAKA1BWRxIKMjAyNi0xMC0wNBoDU1pYKgJaSDIEOTUxNCIgCgNTWlgSCjIwMjYtMTAtMDQaA0tNRyoCWkgyBDk0NTdqDAgCEggvbS8wNndqZnINCAISCS9tLzAxYzA2ZBopEgoyMDI2LTEwLTA4ag0IAhIJL20vMDFjMDZkcgwIAhIIL20vMDZ3amZAAUgBcAGCAQsI____________AZgBAQ&amp;tfu=CnRDalJJV0Raek9XaExUWEpYVGtsQlJYTmpXbWRDUnkwdExTMHRMUzF6WlhSdE9DMXVNVUZCUVVGQlIzRlpSVTFCU2pOeU1qQkJFZzFhU0RrMU1UUjhXa2c1TkRVM0dnb0kxQ1VRQUJvRFEwNVpPQnh3cGJBRRICCAAiAA&amp;hl=zh-CN&amp;curr=CNY</x:v>
      </x:c>
    </x:row>
    <x:row r="120" ht="42" customHeight="1">
      <x:c r="A120" s="85" t="n">
        <x:f>ROW()-7</x:f>
        <x:v>113</x:v>
      </x:c>
      <x:c r="B120" s="86" t="n">
        <x:v>46296</x:v>
      </x:c>
      <x:c r="C120" s="86" t="n">
        <x:v>46302</x:v>
      </x:c>
      <x:c r="D120" s="87" t="n">
        <x:v>6</x:v>
      </x:c>
      <x:c r="E120" s="88" t="str">
        <x:v>春航</x:v>
      </x:c>
      <x:c r="F120" s="88" t="str">
        <x:v>07:55</x:v>
      </x:c>
      <x:c r="G120" s="88" t="str">
        <x:v>11:20</x:v>
      </x:c>
      <x:c r="H120" s="88" t="str">
        <x:v>上海虹桥国际机场</x:v>
      </x:c>
      <x:c r="I120" s="88" t="str">
        <x:v>昆明长水国际机场</x:v>
      </x:c>
      <x:c r="J120" s="88" t="n">
        <x:v>0</x:v>
      </x:c>
      <x:c r="K120" s="88" t="str">
        <x:v>—</x:v>
      </x:c>
      <x:c r="L120" s="88" t="str">
        <x:v>3 小时 25 分钟</x:v>
      </x:c>
      <x:c r="M120" s="89" t="n">
        <x:v>4500</x:v>
      </x:c>
      <x:c r="N120" s="89" t="n">
        <x:v>350</x:v>
      </x:c>
      <x:c r="O120" s="89" t="n">
        <x:f>M120+N120</x:f>
        <x:v>4850</x:v>
      </x:c>
      <x:c r="P120" s="88" t="str">
        <x:f>IF(O120&lt;5000,"是","否")</x:f>
        <x:v>是</x:v>
      </x:c>
      <x:c r="Q120" s="90" t="str">
        <x:v>春秋低价票可能不含托运；按国内往返20kg保守预留¥350</x:v>
      </x:c>
      <x:c r="R120" s="90" t="str">
        <x:v>该去程对应的最低可订返程组合；具体返程航班需打开来源链接确认</x:v>
      </x:c>
      <x:c r="S120" s="91" t="n">
        <x:v>46267.74517780093</x:v>
      </x:c>
      <x:c r="T120" s="92" t="str">
        <x:v>https://www.google.com/travel/flights?hl=zh-CN&amp;curr=CNY&amp;q=Flights%20from%20Shanghai%20to%20Kunming%20from%202026-10-01%20to%202026-10-07</x:v>
      </x:c>
      <x:c r="U120" s="136" t="n">
        <x:v>46302</x:v>
      </x:c>
      <x:c r="V120" s="90" t="str">
        <x:v>19:20</x:v>
      </x:c>
      <x:c r="W120" s="90" t="str">
        <x:v>昆明长水国际机场</x:v>
      </x:c>
      <x:c r="X120" s="137" t="n">
        <x:v>46302</x:v>
      </x:c>
      <x:c r="Y120" s="90" t="str">
        <x:v>23:55</x:v>
      </x:c>
      <x:c r="Z120" s="90" t="str">
        <x:v>上海虹桥国际机场</x:v>
      </x:c>
      <x:c r="AA120" s="90" t="str">
        <x:v>春航</x:v>
      </x:c>
      <x:c r="AB120" s="90" t="n">
        <x:v>0</x:v>
      </x:c>
      <x:c r="AC120" s="90" t="str">
        <x:v>4 小时 35 分钟</x:v>
      </x:c>
      <x:c r="AD120" s="138" t="n">
        <x:v>4500</x:v>
      </x:c>
      <x:c r="AE120" s="90" t="str">
        <x:v>匹配原始往返起价</x:v>
      </x:c>
      <x:c r="AF120" s="92" t="str">
        <x:v>https://www.google.com/travel/flights/search?tfs=CBwQAhpLEgoyMDI2LTEwLTAxIiAKA1NIQRIKMjAyNi0xMC0wMRoDS01HKgI5QzIEODk1M2oMCAISCC9tLzA2d2pmcg0IAhIJL20vMDFjMDZkGikSCjIwMjYtMTAtMDdqDQgCEgkvbS8wMWMwNmRyDAgCEggvbS8wNndqZkABSAFwAYIBCwj___________8BmAEB&amp;tfu=CmxDalJJYzJVMFgxRk5PR1JrWVZsQlJERmplbEZDUnkwdExTMHRMUzB0TFMxemJYUjVOa0ZCUVVGQlIzRlpReTFaVFU1T1gwZEJFZ1k1UXpnNU5UTWFDZ2lVSXhBQUdnTkRUbGs0SEhDTWl3UT0SAggAIgMSATA&amp;hl=zh-CN&amp;curr=CNY</x:v>
      </x:c>
    </x:row>
    <x:row r="121" ht="42" customHeight="1">
      <x:c r="A121" s="85" t="n">
        <x:f>ROW()-7</x:f>
        <x:v>114</x:v>
      </x:c>
      <x:c r="B121" s="86" t="n">
        <x:v>46296</x:v>
      </x:c>
      <x:c r="C121" s="86" t="n">
        <x:v>46301</x:v>
      </x:c>
      <x:c r="D121" s="87" t="n">
        <x:v>5</x:v>
      </x:c>
      <x:c r="E121" s="88" t="str">
        <x:v>南航</x:v>
      </x:c>
      <x:c r="F121" s="88" t="str">
        <x:v>07:40</x:v>
      </x:c>
      <x:c r="G121" s="88" t="str">
        <x:v>11:10</x:v>
      </x:c>
      <x:c r="H121" s="88" t="str">
        <x:v>上海浦东国际机场</x:v>
      </x:c>
      <x:c r="I121" s="88" t="str">
        <x:v>昆明长水国际机场</x:v>
      </x:c>
      <x:c r="J121" s="88" t="n">
        <x:v>0</x:v>
      </x:c>
      <x:c r="K121" s="88" t="str">
        <x:v>—</x:v>
      </x:c>
      <x:c r="L121" s="88" t="str">
        <x:v>3 小时 30 分钟</x:v>
      </x:c>
      <x:c r="M121" s="89" t="n">
        <x:v>4920</x:v>
      </x:c>
      <x:c r="N121" s="89" t="n">
        <x:v>0</x:v>
      </x:c>
      <x:c r="O121" s="89" t="n">
        <x:f>M121+N121</x:f>
        <x:v>4920</x:v>
      </x:c>
      <x:c r="P121" s="88" t="str">
        <x:f>IF(O121&lt;5000,"是","否")</x:f>
        <x:v>是</x:v>
      </x:c>
      <x:c r="Q121" s="90" t="str">
        <x:v>国内经济舱通常含20kg；出票前须按实际票价等级复核</x:v>
      </x:c>
      <x:c r="R121" s="90" t="str">
        <x:v>该去程对应的最低可订返程组合；具体返程航班需打开来源链接确认</x:v>
      </x:c>
      <x:c r="S121" s="91" t="n">
        <x:v>46267.74517780093</x:v>
      </x:c>
      <x:c r="T121" s="92" t="str">
        <x:v>https://www.google.com/travel/flights?hl=zh-CN&amp;curr=CNY&amp;q=Flights%20from%20Shanghai%20to%20Kunming%20from%202026-10-01%20to%202026-10-06</x:v>
      </x:c>
      <x:c r="U121" s="136" t="n">
        <x:v>46301</x:v>
      </x:c>
      <x:c r="V121" s="90" t="str">
        <x:v>12:15</x:v>
      </x:c>
      <x:c r="W121" s="90" t="str">
        <x:v>昆明长水国际机场</x:v>
      </x:c>
      <x:c r="X121" s="137" t="n">
        <x:v>46301</x:v>
      </x:c>
      <x:c r="Y121" s="90" t="str">
        <x:v>15:30</x:v>
      </x:c>
      <x:c r="Z121" s="90" t="str">
        <x:v>上海浦东国际机场</x:v>
      </x:c>
      <x:c r="AA121" s="90" t="str">
        <x:v>南航</x:v>
      </x:c>
      <x:c r="AB121" s="90" t="n">
        <x:v>0</x:v>
      </x:c>
      <x:c r="AC121" s="90" t="str">
        <x:v>3 小时 15 分钟</x:v>
      </x:c>
      <x:c r="AD121" s="138" t="n">
        <x:v>4920</x:v>
      </x:c>
      <x:c r="AE121" s="90" t="str">
        <x:v>匹配原始往返起价</x:v>
      </x:c>
      <x:c r="AF121" s="92" t="str">
        <x:v>https://www.google.com/travel/flights/search?tfs=CBwQAhpLEgoyMDI2LTEwLTAxIiAKA1BWRxIKMjAyNi0xMC0wMRoDS01HKgJDWjIEMzY3N2oMCAISCC9tLzA2d2pmcg0IAhIJL20vMDFjMDZkGikSCjIwMjYtMTAtMDZqDQgCEgkvbS8wMWMwNmRyDAgCEggvbS8wNndqZkABSAFwAYIBCwj___________8BmAEB&amp;tfu=CmxDalJJVGxGb1IzSTNiM1ZaTUVsQlJXbFZORkZDUnkwdExTMHRMUzB0TFhObGRYVXlNa0ZCUVVGQlIzRlpReTFaUmpCNk0xRkJFZ1pEV2pNMk56Y2FDZ2k0SmhBQUdnTkRUbGs0SEhEMXV3UT0SAggAIgMSATA&amp;hl=zh-CN&amp;curr=CNY</x:v>
      </x:c>
    </x:row>
    <x:row r="122" ht="42" customHeight="1">
      <x:c r="A122" s="85" t="n">
        <x:f>ROW()-7</x:f>
        <x:v>115</x:v>
      </x:c>
      <x:c r="B122" s="86" t="n">
        <x:v>46296</x:v>
      </x:c>
      <x:c r="C122" s="86" t="n">
        <x:v>46303</x:v>
      </x:c>
      <x:c r="D122" s="87" t="n">
        <x:v>7</x:v>
      </x:c>
      <x:c r="E122" s="88" t="str">
        <x:v>南航</x:v>
      </x:c>
      <x:c r="F122" s="88" t="str">
        <x:v>07:40</x:v>
      </x:c>
      <x:c r="G122" s="88" t="str">
        <x:v>11:10</x:v>
      </x:c>
      <x:c r="H122" s="88" t="str">
        <x:v>上海浦东国际机场</x:v>
      </x:c>
      <x:c r="I122" s="88" t="str">
        <x:v>昆明长水国际机场</x:v>
      </x:c>
      <x:c r="J122" s="88" t="n">
        <x:v>0</x:v>
      </x:c>
      <x:c r="K122" s="88" t="str">
        <x:v>—</x:v>
      </x:c>
      <x:c r="L122" s="88" t="str">
        <x:v>3 小时 30 分钟</x:v>
      </x:c>
      <x:c r="M122" s="89" t="n">
        <x:v>4920</x:v>
      </x:c>
      <x:c r="N122" s="89" t="n">
        <x:v>0</x:v>
      </x:c>
      <x:c r="O122" s="89" t="n">
        <x:f>M122+N122</x:f>
        <x:v>4920</x:v>
      </x:c>
      <x:c r="P122" s="88" t="str">
        <x:f>IF(O122&lt;5000,"是","否")</x:f>
        <x:v>是</x:v>
      </x:c>
      <x:c r="Q122" s="90" t="str">
        <x:v>国内经济舱通常含20kg；出票前须按实际票价等级复核</x:v>
      </x:c>
      <x:c r="R122" s="90" t="str">
        <x:v>该去程对应的最低可订返程组合；具体返程航班需打开来源链接确认</x:v>
      </x:c>
      <x:c r="S122" s="91" t="n">
        <x:v>46267.74517780093</x:v>
      </x:c>
      <x:c r="T122" s="92" t="str">
        <x:v>https://www.google.com/travel/flights?hl=zh-CN&amp;curr=CNY&amp;q=Flights%20from%20Shanghai%20to%20Kunming%20from%202026-10-01%20to%202026-10-08</x:v>
      </x:c>
      <x:c r="U122" s="136" t="n">
        <x:v>46303</x:v>
      </x:c>
      <x:c r="V122" s="90" t="str">
        <x:v>12:15</x:v>
      </x:c>
      <x:c r="W122" s="90" t="str">
        <x:v>昆明长水国际机场</x:v>
      </x:c>
      <x:c r="X122" s="137" t="n">
        <x:v>46303</x:v>
      </x:c>
      <x:c r="Y122" s="90" t="str">
        <x:v>15:30</x:v>
      </x:c>
      <x:c r="Z122" s="90" t="str">
        <x:v>上海浦东国际机场</x:v>
      </x:c>
      <x:c r="AA122" s="90" t="str">
        <x:v>南航</x:v>
      </x:c>
      <x:c r="AB122" s="90" t="n">
        <x:v>0</x:v>
      </x:c>
      <x:c r="AC122" s="90" t="str">
        <x:v>3 小时 15 分钟</x:v>
      </x:c>
      <x:c r="AD122" s="138" t="n">
        <x:v>4920</x:v>
      </x:c>
      <x:c r="AE122" s="90" t="str">
        <x:v>匹配原始往返起价</x:v>
      </x:c>
      <x:c r="AF122" s="92" t="str">
        <x:v>https://www.google.com/travel/flights/search?tfs=CBwQAhpLEgoyMDI2LTEwLTAxIiAKA1BWRxIKMjAyNi0xMC0wMRoDS01HKgJDWjIEMzY3N2oMCAISCC9tLzA2d2pmcg0IAhIJL20vMDFjMDZkGikSCjIwMjYtMTAtMDhqDQgCEgkvbS8wMWMwNmRyDAgCEggvbS8wNndqZkABSAFwAYIBCwj___________8BmAEB&amp;tfu=CmxDalJJYlhCeE56bGlkak5LY1dkQlJETkJiRUZDUnkwdExTMHRMUzF6YlhWNE9DMXVNa0ZCUVVGQlIzRlpReTFOVDNCdVFrOUJFZ1pEV2pNMk56Y2FDZ2k0SmhBQUdnTkRUbGs0SFhEMXV3UT0SAggAIgMSATA&amp;hl=zh-CN&amp;curr=CNY</x:v>
      </x:c>
    </x:row>
    <x:row r="123" ht="42" customHeight="1">
      <x:c r="A123" s="85" t="n">
        <x:f>ROW()-7</x:f>
        <x:v>116</x:v>
      </x:c>
      <x:c r="B123" s="86" t="n">
        <x:v>46296</x:v>
      </x:c>
      <x:c r="C123" s="86" t="n">
        <x:v>46301</x:v>
      </x:c>
      <x:c r="D123" s="87" t="n">
        <x:v>5</x:v>
      </x:c>
      <x:c r="E123" s="88" t="str">
        <x:v>南航</x:v>
      </x:c>
      <x:c r="F123" s="88" t="str">
        <x:v>14:50</x:v>
      </x:c>
      <x:c r="G123" s="88" t="str">
        <x:v>18:20</x:v>
      </x:c>
      <x:c r="H123" s="88" t="str">
        <x:v>上海浦东国际机场</x:v>
      </x:c>
      <x:c r="I123" s="88" t="str">
        <x:v>昆明长水国际机场</x:v>
      </x:c>
      <x:c r="J123" s="88" t="n">
        <x:v>0</x:v>
      </x:c>
      <x:c r="K123" s="88" t="str">
        <x:v>—</x:v>
      </x:c>
      <x:c r="L123" s="88" t="str">
        <x:v>3 小时 30 分钟</x:v>
      </x:c>
      <x:c r="M123" s="89" t="n">
        <x:v>4920</x:v>
      </x:c>
      <x:c r="N123" s="89" t="n">
        <x:v>0</x:v>
      </x:c>
      <x:c r="O123" s="89" t="n">
        <x:f>M123+N123</x:f>
        <x:v>4920</x:v>
      </x:c>
      <x:c r="P123" s="88" t="str">
        <x:f>IF(O123&lt;5000,"是","否")</x:f>
        <x:v>是</x:v>
      </x:c>
      <x:c r="Q123" s="90" t="str">
        <x:v>国内经济舱通常含20kg；出票前须按实际票价等级复核</x:v>
      </x:c>
      <x:c r="R123" s="90" t="str">
        <x:v>该去程对应的最低可订返程组合；具体返程航班需打开来源链接确认</x:v>
      </x:c>
      <x:c r="S123" s="91" t="n">
        <x:v>46267.74517780093</x:v>
      </x:c>
      <x:c r="T123" s="92" t="str">
        <x:v>https://www.google.com/travel/flights?hl=zh-CN&amp;curr=CNY&amp;q=Flights%20from%20Shanghai%20to%20Kunming%20from%202026-10-01%20to%202026-10-06</x:v>
      </x:c>
      <x:c r="U123" s="136" t="n">
        <x:v>46301</x:v>
      </x:c>
      <x:c r="V123" s="90" t="str">
        <x:v>12:15</x:v>
      </x:c>
      <x:c r="W123" s="90" t="str">
        <x:v>昆明长水国际机场</x:v>
      </x:c>
      <x:c r="X123" s="137" t="n">
        <x:v>46301</x:v>
      </x:c>
      <x:c r="Y123" s="90" t="str">
        <x:v>15:30</x:v>
      </x:c>
      <x:c r="Z123" s="90" t="str">
        <x:v>上海浦东国际机场</x:v>
      </x:c>
      <x:c r="AA123" s="90" t="str">
        <x:v>南航</x:v>
      </x:c>
      <x:c r="AB123" s="90" t="n">
        <x:v>0</x:v>
      </x:c>
      <x:c r="AC123" s="90" t="str">
        <x:v>3 小时 15 分钟</x:v>
      </x:c>
      <x:c r="AD123" s="138" t="n">
        <x:v>4920</x:v>
      </x:c>
      <x:c r="AE123" s="90" t="str">
        <x:v>匹配原始往返起价</x:v>
      </x:c>
      <x:c r="AF123" s="92" t="str">
        <x:v>https://www.google.com/travel/flights/search?tfs=CBwQAhpLEgoyMDI2LTEwLTAxIiAKA1BWRxIKMjAyNi0xMC0wMRoDS01HKgJDWjIEODc1NWoMCAISCC9tLzA2d2pmcg0IAhIJL20vMDFjMDZkGikSCjIwMjYtMTAtMDZqDQgCEgkvbS8wMWMwNmRyDAgCEggvbS8wNndqZkABSAFwAYIBCwj___________8BmAEB&amp;tfu=CmxDalJJTlU4M1RFRndjM05IY25OQlJsZFlkSGRDUnkwdExTMHRMUzB0TFhOdFltUm5ORUZCUVVGQlIzRlpReTFaUzNKTk5tbEJFZ1pEV2pnM05UVWFDZ2k0SmhBQUdnTkRUbGs0SEhEMXV3UT0SAggAIgA&amp;hl=zh-CN&amp;curr=CNY</x:v>
      </x:c>
    </x:row>
    <x:row r="124" ht="42" customHeight="1">
      <x:c r="A124" s="85" t="n">
        <x:f>ROW()-7</x:f>
        <x:v>117</x:v>
      </x:c>
      <x:c r="B124" s="86" t="n">
        <x:v>46296</x:v>
      </x:c>
      <x:c r="C124" s="86" t="n">
        <x:v>46303</x:v>
      </x:c>
      <x:c r="D124" s="87" t="n">
        <x:v>7</x:v>
      </x:c>
      <x:c r="E124" s="88" t="str">
        <x:v>南航</x:v>
      </x:c>
      <x:c r="F124" s="88" t="str">
        <x:v>14:50</x:v>
      </x:c>
      <x:c r="G124" s="88" t="str">
        <x:v>18:20</x:v>
      </x:c>
      <x:c r="H124" s="88" t="str">
        <x:v>上海浦东国际机场</x:v>
      </x:c>
      <x:c r="I124" s="88" t="str">
        <x:v>昆明长水国际机场</x:v>
      </x:c>
      <x:c r="J124" s="88" t="n">
        <x:v>0</x:v>
      </x:c>
      <x:c r="K124" s="88" t="str">
        <x:v>—</x:v>
      </x:c>
      <x:c r="L124" s="88" t="str">
        <x:v>3 小时 30 分钟</x:v>
      </x:c>
      <x:c r="M124" s="89" t="n">
        <x:v>4920</x:v>
      </x:c>
      <x:c r="N124" s="89" t="n">
        <x:v>0</x:v>
      </x:c>
      <x:c r="O124" s="89" t="n">
        <x:f>M124+N124</x:f>
        <x:v>4920</x:v>
      </x:c>
      <x:c r="P124" s="88" t="str">
        <x:f>IF(O124&lt;5000,"是","否")</x:f>
        <x:v>是</x:v>
      </x:c>
      <x:c r="Q124" s="90" t="str">
        <x:v>国内经济舱通常含20kg；出票前须按实际票价等级复核</x:v>
      </x:c>
      <x:c r="R124" s="90" t="str">
        <x:v>该去程对应的最低可订返程组合；具体返程航班需打开来源链接确认</x:v>
      </x:c>
      <x:c r="S124" s="91" t="n">
        <x:v>46267.74517780093</x:v>
      </x:c>
      <x:c r="T124" s="92" t="str">
        <x:v>https://www.google.com/travel/flights?hl=zh-CN&amp;curr=CNY&amp;q=Flights%20from%20Shanghai%20to%20Kunming%20from%202026-10-01%20to%202026-10-08</x:v>
      </x:c>
      <x:c r="U124" s="136" t="n">
        <x:v>46303</x:v>
      </x:c>
      <x:c r="V124" s="90" t="str">
        <x:v>12:15</x:v>
      </x:c>
      <x:c r="W124" s="90" t="str">
        <x:v>昆明长水国际机场</x:v>
      </x:c>
      <x:c r="X124" s="137" t="n">
        <x:v>46303</x:v>
      </x:c>
      <x:c r="Y124" s="90" t="str">
        <x:v>15:30</x:v>
      </x:c>
      <x:c r="Z124" s="90" t="str">
        <x:v>上海浦东国际机场</x:v>
      </x:c>
      <x:c r="AA124" s="90" t="str">
        <x:v>南航</x:v>
      </x:c>
      <x:c r="AB124" s="90" t="n">
        <x:v>0</x:v>
      </x:c>
      <x:c r="AC124" s="90" t="str">
        <x:v>3 小时 15 分钟</x:v>
      </x:c>
      <x:c r="AD124" s="138" t="n">
        <x:v>4920</x:v>
      </x:c>
      <x:c r="AE124" s="90" t="str">
        <x:v>匹配原始往返起价</x:v>
      </x:c>
      <x:c r="AF124" s="92" t="str">
        <x:v>https://www.google.com/travel/flights/search?tfs=CBwQAhpLEgoyMDI2LTEwLTAxIiAKA1BWRxIKMjAyNi0xMC0wMRoDS01HKgJDWjIEODc1NWoMCAISCC9tLzA2d2pmcg0IAhIJL20vMDFjMDZkGikSCjIwMjYtMTAtMDhqDQgCEgkvbS8wMWMwNmRyDAgCEggvbS8wNndqZkABSAFwAYIBCwj___________8BmAEB&amp;tfu=CmxDalJJYzJVMFgxRk5PR1JrWVZsQlJERmxWVkZDUnkwdExTMHRMUzB0TFMxemJYUjVOa0ZCUVVGQlIzRlpReTEzVDI5eU1FdEJFZ1pEV2pnM05UVWFDZ2k0SmhBQUdnTkRUbGs0SFhEMXV3UT0SAggAIgA&amp;hl=zh-CN&amp;curr=CNY</x:v>
      </x:c>
    </x:row>
    <x:row r="125" ht="42" customHeight="1">
      <x:c r="A125" s="85" t="n">
        <x:f>ROW()-7</x:f>
        <x:v>118</x:v>
      </x:c>
      <x:c r="B125" s="86" t="n">
        <x:v>46297</x:v>
      </x:c>
      <x:c r="C125" s="86" t="n">
        <x:v>46301</x:v>
      </x:c>
      <x:c r="D125" s="87" t="n">
        <x:v>4</x:v>
      </x:c>
      <x:c r="E125" s="88" t="str">
        <x:v>南航</x:v>
      </x:c>
      <x:c r="F125" s="88" t="str">
        <x:v>07:40</x:v>
      </x:c>
      <x:c r="G125" s="88" t="str">
        <x:v>11:10</x:v>
      </x:c>
      <x:c r="H125" s="88" t="str">
        <x:v>上海浦东国际机场</x:v>
      </x:c>
      <x:c r="I125" s="88" t="str">
        <x:v>昆明长水国际机场</x:v>
      </x:c>
      <x:c r="J125" s="88" t="n">
        <x:v>0</x:v>
      </x:c>
      <x:c r="K125" s="88" t="str">
        <x:v>—</x:v>
      </x:c>
      <x:c r="L125" s="88" t="str">
        <x:v>3 小时 30 分钟</x:v>
      </x:c>
      <x:c r="M125" s="89" t="n">
        <x:v>4920</x:v>
      </x:c>
      <x:c r="N125" s="89" t="n">
        <x:v>0</x:v>
      </x:c>
      <x:c r="O125" s="89" t="n">
        <x:f>M125+N125</x:f>
        <x:v>4920</x:v>
      </x:c>
      <x:c r="P125" s="88" t="str">
        <x:f>IF(O125&lt;5000,"是","否")</x:f>
        <x:v>是</x:v>
      </x:c>
      <x:c r="Q125" s="90" t="str">
        <x:v>国内经济舱通常含20kg；出票前须按实际票价等级复核</x:v>
      </x:c>
      <x:c r="R125" s="90" t="str">
        <x:v>该去程对应的最低可订返程组合；具体返程航班需打开来源链接确认</x:v>
      </x:c>
      <x:c r="S125" s="91" t="n">
        <x:v>46267.74517780093</x:v>
      </x:c>
      <x:c r="T125" s="92" t="str">
        <x:v>https://www.google.com/travel/flights?hl=zh-CN&amp;curr=CNY&amp;q=Flights%20from%20Shanghai%20to%20Kunming%20from%202026-10-02%20to%202026-10-06</x:v>
      </x:c>
      <x:c r="U125" s="136" t="n">
        <x:v>46301</x:v>
      </x:c>
      <x:c r="V125" s="90" t="str">
        <x:v>12:15</x:v>
      </x:c>
      <x:c r="W125" s="90" t="str">
        <x:v>昆明长水国际机场</x:v>
      </x:c>
      <x:c r="X125" s="137" t="n">
        <x:v>46301</x:v>
      </x:c>
      <x:c r="Y125" s="90" t="str">
        <x:v>15:30</x:v>
      </x:c>
      <x:c r="Z125" s="90" t="str">
        <x:v>上海浦东国际机场</x:v>
      </x:c>
      <x:c r="AA125" s="90" t="str">
        <x:v>南航</x:v>
      </x:c>
      <x:c r="AB125" s="90" t="n">
        <x:v>0</x:v>
      </x:c>
      <x:c r="AC125" s="90" t="str">
        <x:v>3 小时 15 分钟</x:v>
      </x:c>
      <x:c r="AD125" s="138" t="n">
        <x:v>4920</x:v>
      </x:c>
      <x:c r="AE125" s="90" t="str">
        <x:v>匹配原始往返起价</x:v>
      </x:c>
      <x:c r="AF125" s="92" t="str">
        <x:v>https://www.google.com/travel/flights/search?tfs=CBwQAhpLEgoyMDI2LTEwLTAyIiAKA1BWRxIKMjAyNi0xMC0wMhoDS01HKgJDWjIEMzY3N2oMCAISCC9tLzA2d2pmcg0IAhIJL20vMDFjMDZkGikSCjIwMjYtMTAtMDZqDQgCEgkvbS8wMWMwNmRyDAgCEggvbS8wNndqZkABSAFwAYIBCwj___________8BmAEB&amp;tfu=CmxDalJJVGxGb1IzSTNiM1ZaTUVsQlJXbFllRkZDUnkwdExTMHRMUzB0TFhObGRYVXlNa0ZCUVVGQlIzRlpReTB3UVUxYWFFdEJFZ1pEV2pNMk56Y2FDZ2k0SmhBQUdnTkRUbGs0SFhEMXV3UT0SAggAIgMSATA&amp;hl=zh-CN&amp;curr=CNY</x:v>
      </x:c>
    </x:row>
    <x:row r="126" ht="42" customHeight="1">
      <x:c r="A126" s="85" t="n">
        <x:f>ROW()-7</x:f>
        <x:v>119</x:v>
      </x:c>
      <x:c r="B126" s="86" t="n">
        <x:v>46297</x:v>
      </x:c>
      <x:c r="C126" s="86" t="n">
        <x:v>46302</x:v>
      </x:c>
      <x:c r="D126" s="87" t="n">
        <x:v>5</x:v>
      </x:c>
      <x:c r="E126" s="88" t="str">
        <x:v>南航</x:v>
      </x:c>
      <x:c r="F126" s="88" t="str">
        <x:v>07:40</x:v>
      </x:c>
      <x:c r="G126" s="88" t="str">
        <x:v>11:10</x:v>
      </x:c>
      <x:c r="H126" s="88" t="str">
        <x:v>上海浦东国际机场</x:v>
      </x:c>
      <x:c r="I126" s="88" t="str">
        <x:v>昆明长水国际机场</x:v>
      </x:c>
      <x:c r="J126" s="88" t="n">
        <x:v>0</x:v>
      </x:c>
      <x:c r="K126" s="88" t="str">
        <x:v>—</x:v>
      </x:c>
      <x:c r="L126" s="88" t="str">
        <x:v>3 小时 30 分钟</x:v>
      </x:c>
      <x:c r="M126" s="89" t="n">
        <x:v>4920</x:v>
      </x:c>
      <x:c r="N126" s="89" t="n">
        <x:v>0</x:v>
      </x:c>
      <x:c r="O126" s="89" t="n">
        <x:f>M126+N126</x:f>
        <x:v>4920</x:v>
      </x:c>
      <x:c r="P126" s="88" t="str">
        <x:f>IF(O126&lt;5000,"是","否")</x:f>
        <x:v>是</x:v>
      </x:c>
      <x:c r="Q126" s="90" t="str">
        <x:v>国内经济舱通常含20kg；出票前须按实际票价等级复核</x:v>
      </x:c>
      <x:c r="R126" s="90" t="str">
        <x:v>该去程对应的最低可订返程组合；具体返程航班需打开来源链接确认</x:v>
      </x:c>
      <x:c r="S126" s="91" t="n">
        <x:v>46267.74517780093</x:v>
      </x:c>
      <x:c r="T126" s="92" t="str">
        <x:v>https://www.google.com/travel/flights?hl=zh-CN&amp;curr=CNY&amp;q=Flights%20from%20Shanghai%20to%20Kunming%20from%202026-10-02%20to%202026-10-07</x:v>
      </x:c>
      <x:c r="U126" s="136" t="n">
        <x:v>46302</x:v>
      </x:c>
      <x:c r="V126" s="90" t="str">
        <x:v>12:15</x:v>
      </x:c>
      <x:c r="W126" s="90" t="str">
        <x:v>昆明长水国际机场</x:v>
      </x:c>
      <x:c r="X126" s="137" t="n">
        <x:v>46302</x:v>
      </x:c>
      <x:c r="Y126" s="90" t="str">
        <x:v>15:30</x:v>
      </x:c>
      <x:c r="Z126" s="90" t="str">
        <x:v>上海浦东国际机场</x:v>
      </x:c>
      <x:c r="AA126" s="90" t="str">
        <x:v>南航</x:v>
      </x:c>
      <x:c r="AB126" s="90" t="n">
        <x:v>0</x:v>
      </x:c>
      <x:c r="AC126" s="90" t="str">
        <x:v>3 小时 15 分钟</x:v>
      </x:c>
      <x:c r="AD126" s="138" t="n">
        <x:v>4920</x:v>
      </x:c>
      <x:c r="AE126" s="90" t="str">
        <x:v>匹配原始往返起价</x:v>
      </x:c>
      <x:c r="AF126" s="92" t="str">
        <x:v>https://www.google.com/travel/flights/search?tfs=CBwQAhpLEgoyMDI2LTEwLTAyIiAKA1BWRxIKMjAyNi0xMC0wMhoDS01HKgJDWjIEMzY3N2oMCAISCC9tLzA2d2pmcg0IAhIJL20vMDFjMDZkGikSCjIwMjYtMTAtMDdqDQgCEgkvbS8wMWMwNmRyDAgCEggvbS8wNndqZkABSAFwAYIBCwj___________8BmAEB&amp;tfu=CmxDalJJYTBKcFduQjNPRU4zUjFGQlJYSnVNWGRDUnkwdExTMHRMWE5sY0dReE1TMXVNVUZCUVVGQlIzRlpReTEzVG1zNGJrTkJFZ1pEV2pNMk56Y2FDZ2k0SmhBQUdnTkRUbGs0SFhEMXV3UT0SAggAIgMSATA&amp;hl=zh-CN&amp;curr=CNY</x:v>
      </x:c>
    </x:row>
    <x:row r="127" ht="42" customHeight="1">
      <x:c r="A127" s="85" t="n">
        <x:f>ROW()-7</x:f>
        <x:v>120</x:v>
      </x:c>
      <x:c r="B127" s="86" t="n">
        <x:v>46297</x:v>
      </x:c>
      <x:c r="C127" s="86" t="n">
        <x:v>46303</x:v>
      </x:c>
      <x:c r="D127" s="87" t="n">
        <x:v>6</x:v>
      </x:c>
      <x:c r="E127" s="88" t="str">
        <x:v>南航</x:v>
      </x:c>
      <x:c r="F127" s="88" t="str">
        <x:v>07:40</x:v>
      </x:c>
      <x:c r="G127" s="88" t="str">
        <x:v>11:10</x:v>
      </x:c>
      <x:c r="H127" s="88" t="str">
        <x:v>上海浦东国际机场</x:v>
      </x:c>
      <x:c r="I127" s="88" t="str">
        <x:v>昆明长水国际机场</x:v>
      </x:c>
      <x:c r="J127" s="88" t="n">
        <x:v>0</x:v>
      </x:c>
      <x:c r="K127" s="88" t="str">
        <x:v>—</x:v>
      </x:c>
      <x:c r="L127" s="88" t="str">
        <x:v>3 小时 30 分钟</x:v>
      </x:c>
      <x:c r="M127" s="89" t="n">
        <x:v>4920</x:v>
      </x:c>
      <x:c r="N127" s="89" t="n">
        <x:v>0</x:v>
      </x:c>
      <x:c r="O127" s="89" t="n">
        <x:f>M127+N127</x:f>
        <x:v>4920</x:v>
      </x:c>
      <x:c r="P127" s="88" t="str">
        <x:f>IF(O127&lt;5000,"是","否")</x:f>
        <x:v>是</x:v>
      </x:c>
      <x:c r="Q127" s="90" t="str">
        <x:v>国内经济舱通常含20kg；出票前须按实际票价等级复核</x:v>
      </x:c>
      <x:c r="R127" s="90" t="str">
        <x:v>该去程对应的最低可订返程组合；具体返程航班需打开来源链接确认</x:v>
      </x:c>
      <x:c r="S127" s="91" t="n">
        <x:v>46267.74517780093</x:v>
      </x:c>
      <x:c r="T127" s="92" t="str">
        <x:v>https://www.google.com/travel/flights?hl=zh-CN&amp;curr=CNY&amp;q=Flights%20from%20Shanghai%20to%20Kunming%20from%202026-10-02%20to%202026-10-08</x:v>
      </x:c>
      <x:c r="U127" s="136" t="n">
        <x:v>46303</x:v>
      </x:c>
      <x:c r="V127" s="90" t="str">
        <x:v>12:15</x:v>
      </x:c>
      <x:c r="W127" s="90" t="str">
        <x:v>昆明长水国际机场</x:v>
      </x:c>
      <x:c r="X127" s="137" t="n">
        <x:v>46303</x:v>
      </x:c>
      <x:c r="Y127" s="90" t="str">
        <x:v>15:30</x:v>
      </x:c>
      <x:c r="Z127" s="90" t="str">
        <x:v>上海浦东国际机场</x:v>
      </x:c>
      <x:c r="AA127" s="90" t="str">
        <x:v>南航</x:v>
      </x:c>
      <x:c r="AB127" s="90" t="n">
        <x:v>0</x:v>
      </x:c>
      <x:c r="AC127" s="90" t="str">
        <x:v>3 小时 15 分钟</x:v>
      </x:c>
      <x:c r="AD127" s="138" t="n">
        <x:v>4920</x:v>
      </x:c>
      <x:c r="AE127" s="90" t="str">
        <x:v>匹配原始往返起价</x:v>
      </x:c>
      <x:c r="AF127" s="92" t="str">
        <x:v>https://www.google.com/travel/flights/search?tfs=CBwQAhpLEgoyMDI2LTEwLTAyIiAKA1BWRxIKMjAyNi0xMC0wMhoDS01HKgJDWjIEMzY3N2oMCAISCC9tLzA2d2pmcg0IAhIJL20vMDFjMDZkGikSCjIwMjYtMTAtMDhqDQgCEgkvbS8wMWMwNmRyDAgCEggvbS8wNndqZkABSAFwAYIBCwj___________8BmAEB&amp;tfu=CmxDalJJT1hWcVIzUnVRa3BOUjAxQlJDMDNOVkZDUnkwdExTMHRMWE50ZEhneE5pMXVNa0ZCUVVGQlIzRlpReTB3UVZBMFRFdEJFZ1pEV2pNMk56Y2FDZ2k0SmhBQUdnTkRUbGs0SFhEMXV3UT0SAggAIgMSATA&amp;hl=zh-CN&amp;curr=CNY</x:v>
      </x:c>
    </x:row>
    <x:row r="128" ht="42" customHeight="1">
      <x:c r="A128" s="85" t="n">
        <x:f>ROW()-7</x:f>
        <x:v>121</x:v>
      </x:c>
      <x:c r="B128" s="86" t="n">
        <x:v>46297</x:v>
      </x:c>
      <x:c r="C128" s="86" t="n">
        <x:v>46304</x:v>
      </x:c>
      <x:c r="D128" s="87" t="n">
        <x:v>7</x:v>
      </x:c>
      <x:c r="E128" s="88" t="str">
        <x:v>南航</x:v>
      </x:c>
      <x:c r="F128" s="88" t="str">
        <x:v>07:40</x:v>
      </x:c>
      <x:c r="G128" s="88" t="str">
        <x:v>11:10</x:v>
      </x:c>
      <x:c r="H128" s="88" t="str">
        <x:v>上海浦东国际机场</x:v>
      </x:c>
      <x:c r="I128" s="88" t="str">
        <x:v>昆明长水国际机场</x:v>
      </x:c>
      <x:c r="J128" s="88" t="n">
        <x:v>0</x:v>
      </x:c>
      <x:c r="K128" s="88" t="str">
        <x:v>—</x:v>
      </x:c>
      <x:c r="L128" s="88" t="str">
        <x:v>3 小时 30 分钟</x:v>
      </x:c>
      <x:c r="M128" s="89" t="n">
        <x:v>4920</x:v>
      </x:c>
      <x:c r="N128" s="89" t="n">
        <x:v>0</x:v>
      </x:c>
      <x:c r="O128" s="89" t="n">
        <x:f>M128+N128</x:f>
        <x:v>4920</x:v>
      </x:c>
      <x:c r="P128" s="88" t="str">
        <x:f>IF(O128&lt;5000,"是","否")</x:f>
        <x:v>是</x:v>
      </x:c>
      <x:c r="Q128" s="90" t="str">
        <x:v>国内经济舱通常含20kg；出票前须按实际票价等级复核</x:v>
      </x:c>
      <x:c r="R128" s="90" t="str">
        <x:v>该去程对应的最低可订返程组合；具体返程航班需打开来源链接确认</x:v>
      </x:c>
      <x:c r="S128" s="91" t="n">
        <x:v>46267.74517780093</x:v>
      </x:c>
      <x:c r="T128" s="92" t="str">
        <x:v>https://www.google.com/travel/flights?hl=zh-CN&amp;curr=CNY&amp;q=Flights%20from%20Shanghai%20to%20Kunming%20from%202026-10-02%20to%202026-10-09</x:v>
      </x:c>
      <x:c r="U128" s="136" t="n">
        <x:v>46304</x:v>
      </x:c>
      <x:c r="V128" s="90" t="str">
        <x:v>12:15</x:v>
      </x:c>
      <x:c r="W128" s="90" t="str">
        <x:v>昆明长水国际机场</x:v>
      </x:c>
      <x:c r="X128" s="137" t="n">
        <x:v>46304</x:v>
      </x:c>
      <x:c r="Y128" s="90" t="str">
        <x:v>15:30</x:v>
      </x:c>
      <x:c r="Z128" s="90" t="str">
        <x:v>上海浦东国际机场</x:v>
      </x:c>
      <x:c r="AA128" s="90" t="str">
        <x:v>南航</x:v>
      </x:c>
      <x:c r="AB128" s="90" t="n">
        <x:v>0</x:v>
      </x:c>
      <x:c r="AC128" s="90" t="str">
        <x:v>3 小时 15 分钟</x:v>
      </x:c>
      <x:c r="AD128" s="138" t="n">
        <x:v>4920</x:v>
      </x:c>
      <x:c r="AE128" s="90" t="str">
        <x:v>匹配原始往返起价</x:v>
      </x:c>
      <x:c r="AF128" s="92" t="str">
        <x:v>https://www.google.com/travel/flights/search?tfs=CBwQAhpLEgoyMDI2LTEwLTAyIiAKA1BWRxIKMjAyNi0xMC0wMhoDS01HKgJDWjIEMzY3N2oMCAISCC9tLzA2d2pmcg0IAhIJL20vMDFjMDZkGikSCjIwMjYtMTAtMDlqDQgCEgkvbS8wMWMwNmRyDAgCEggvbS8wNndqZkABSAFwAYIBCwj___________8BmAEB&amp;tfu=CmxDalJJT1hWcVIzUnVRa3BOUjAxQlJDMHROM2RDUnkwdExTMHRMWE50ZEhneE5pMXVNa0ZCUVVGQlIzRlpRMTlWUW0wdFZsRkJFZ1pEV2pNMk56Y2FDZ2k0SmhBQUdnTkRUbGs0SFhEMXV3UT0SAggAIgMSATA&amp;hl=zh-CN&amp;curr=CNY</x:v>
      </x:c>
    </x:row>
    <x:row r="129" ht="42" customHeight="1">
      <x:c r="A129" s="85" t="n">
        <x:f>ROW()-7</x:f>
        <x:v>122</x:v>
      </x:c>
      <x:c r="B129" s="86" t="n">
        <x:v>46297</x:v>
      </x:c>
      <x:c r="C129" s="86" t="n">
        <x:v>46301</x:v>
      </x:c>
      <x:c r="D129" s="87" t="n">
        <x:v>4</x:v>
      </x:c>
      <x:c r="E129" s="88" t="str">
        <x:v>南航</x:v>
      </x:c>
      <x:c r="F129" s="88" t="str">
        <x:v>14:50</x:v>
      </x:c>
      <x:c r="G129" s="88" t="str">
        <x:v>18:20</x:v>
      </x:c>
      <x:c r="H129" s="88" t="str">
        <x:v>上海浦东国际机场</x:v>
      </x:c>
      <x:c r="I129" s="88" t="str">
        <x:v>昆明长水国际机场</x:v>
      </x:c>
      <x:c r="J129" s="88" t="n">
        <x:v>0</x:v>
      </x:c>
      <x:c r="K129" s="88" t="str">
        <x:v>—</x:v>
      </x:c>
      <x:c r="L129" s="88" t="str">
        <x:v>3 小时 30 分钟</x:v>
      </x:c>
      <x:c r="M129" s="89" t="n">
        <x:v>4920</x:v>
      </x:c>
      <x:c r="N129" s="89" t="n">
        <x:v>0</x:v>
      </x:c>
      <x:c r="O129" s="89" t="n">
        <x:f>M129+N129</x:f>
        <x:v>4920</x:v>
      </x:c>
      <x:c r="P129" s="88" t="str">
        <x:f>IF(O129&lt;5000,"是","否")</x:f>
        <x:v>是</x:v>
      </x:c>
      <x:c r="Q129" s="90" t="str">
        <x:v>国内经济舱通常含20kg；出票前须按实际票价等级复核</x:v>
      </x:c>
      <x:c r="R129" s="90" t="str">
        <x:v>该去程对应的最低可订返程组合；具体返程航班需打开来源链接确认</x:v>
      </x:c>
      <x:c r="S129" s="91" t="n">
        <x:v>46267.74517780093</x:v>
      </x:c>
      <x:c r="T129" s="92" t="str">
        <x:v>https://www.google.com/travel/flights?hl=zh-CN&amp;curr=CNY&amp;q=Flights%20from%20Shanghai%20to%20Kunming%20from%202026-10-02%20to%202026-10-06</x:v>
      </x:c>
      <x:c r="U129" s="136" t="n">
        <x:v>46301</x:v>
      </x:c>
      <x:c r="V129" s="90" t="str">
        <x:v>12:15</x:v>
      </x:c>
      <x:c r="W129" s="90" t="str">
        <x:v>昆明长水国际机场</x:v>
      </x:c>
      <x:c r="X129" s="137" t="n">
        <x:v>46301</x:v>
      </x:c>
      <x:c r="Y129" s="90" t="str">
        <x:v>15:30</x:v>
      </x:c>
      <x:c r="Z129" s="90" t="str">
        <x:v>上海浦东国际机场</x:v>
      </x:c>
      <x:c r="AA129" s="90" t="str">
        <x:v>南航</x:v>
      </x:c>
      <x:c r="AB129" s="90" t="n">
        <x:v>0</x:v>
      </x:c>
      <x:c r="AC129" s="90" t="str">
        <x:v>3 小时 15 分钟</x:v>
      </x:c>
      <x:c r="AD129" s="138" t="n">
        <x:v>4920</x:v>
      </x:c>
      <x:c r="AE129" s="90" t="str">
        <x:v>匹配原始往返起价</x:v>
      </x:c>
      <x:c r="AF129" s="92" t="str">
        <x:v>https://www.google.com/travel/flights/search?tfs=CBwQAhpLEgoyMDI2LTEwLTAyIiAKA1BWRxIKMjAyNi0xMC0wMhoDS01HKgJDWjIEODc1NWoMCAISCC9tLzA2d2pmcg0IAhIJL20vMDFjMDZkGikSCjIwMjYtMTAtMDZqDQgCEgkvbS8wMWMwNmRyDAgCEggvbS8wNndqZkABSAFwAYIBCwj___________8BmAEB&amp;tfu=CmxDalJJUlROeFMwUnNXWFJRZEUxQlJWVnFPV2RDUnkwdExTMHRMWE50Y0hReE5DMXVNVUZCUVVGQlIzRlpRMTlWUTBSUFgwdEJFZ1pEV2pnM05UVWFDZ2k0SmhBQUdnTkRUbGs0SFhEMXV3UT0SAggAIgA&amp;hl=zh-CN&amp;curr=CNY</x:v>
      </x:c>
    </x:row>
    <x:row r="130" ht="42" customHeight="1">
      <x:c r="A130" s="85" t="n">
        <x:f>ROW()-7</x:f>
        <x:v>123</x:v>
      </x:c>
      <x:c r="B130" s="86" t="n">
        <x:v>46297</x:v>
      </x:c>
      <x:c r="C130" s="86" t="n">
        <x:v>46302</x:v>
      </x:c>
      <x:c r="D130" s="87" t="n">
        <x:v>5</x:v>
      </x:c>
      <x:c r="E130" s="88" t="str">
        <x:v>南航</x:v>
      </x:c>
      <x:c r="F130" s="88" t="str">
        <x:v>14:50</x:v>
      </x:c>
      <x:c r="G130" s="88" t="str">
        <x:v>18:20</x:v>
      </x:c>
      <x:c r="H130" s="88" t="str">
        <x:v>上海浦东国际机场</x:v>
      </x:c>
      <x:c r="I130" s="88" t="str">
        <x:v>昆明长水国际机场</x:v>
      </x:c>
      <x:c r="J130" s="88" t="n">
        <x:v>0</x:v>
      </x:c>
      <x:c r="K130" s="88" t="str">
        <x:v>—</x:v>
      </x:c>
      <x:c r="L130" s="88" t="str">
        <x:v>3 小时 30 分钟</x:v>
      </x:c>
      <x:c r="M130" s="89" t="n">
        <x:v>4920</x:v>
      </x:c>
      <x:c r="N130" s="89" t="n">
        <x:v>0</x:v>
      </x:c>
      <x:c r="O130" s="89" t="n">
        <x:f>M130+N130</x:f>
        <x:v>4920</x:v>
      </x:c>
      <x:c r="P130" s="88" t="str">
        <x:f>IF(O130&lt;5000,"是","否")</x:f>
        <x:v>是</x:v>
      </x:c>
      <x:c r="Q130" s="90" t="str">
        <x:v>国内经济舱通常含20kg；出票前须按实际票价等级复核</x:v>
      </x:c>
      <x:c r="R130" s="90" t="str">
        <x:v>该去程对应的最低可订返程组合；具体返程航班需打开来源链接确认</x:v>
      </x:c>
      <x:c r="S130" s="91" t="n">
        <x:v>46267.74517780093</x:v>
      </x:c>
      <x:c r="T130" s="92" t="str">
        <x:v>https://www.google.com/travel/flights?hl=zh-CN&amp;curr=CNY&amp;q=Flights%20from%20Shanghai%20to%20Kunming%20from%202026-10-02%20to%202026-10-07</x:v>
      </x:c>
      <x:c r="U130" s="136" t="n">
        <x:v>46302</x:v>
      </x:c>
      <x:c r="V130" s="90" t="str">
        <x:v>12:15</x:v>
      </x:c>
      <x:c r="W130" s="90" t="str">
        <x:v>昆明长水国际机场</x:v>
      </x:c>
      <x:c r="X130" s="137" t="n">
        <x:v>46302</x:v>
      </x:c>
      <x:c r="Y130" s="90" t="str">
        <x:v>15:30</x:v>
      </x:c>
      <x:c r="Z130" s="90" t="str">
        <x:v>上海浦东国际机场</x:v>
      </x:c>
      <x:c r="AA130" s="90" t="str">
        <x:v>南航</x:v>
      </x:c>
      <x:c r="AB130" s="90" t="n">
        <x:v>0</x:v>
      </x:c>
      <x:c r="AC130" s="90" t="str">
        <x:v>3 小时 15 分钟</x:v>
      </x:c>
      <x:c r="AD130" s="138" t="n">
        <x:v>4920</x:v>
      </x:c>
      <x:c r="AE130" s="90" t="str">
        <x:v>匹配原始往返起价</x:v>
      </x:c>
      <x:c r="AF130" s="92" t="str">
        <x:v>https://www.google.com/travel/flights/search?tfs=CBwQAhpLEgoyMDI2LTEwLTAyIiAKA1BWRxIKMjAyNi0xMC0wMhoDS01HKgJDWjIEODc1NWoMCAISCC9tLzA2d2pmcg0IAhIJL20vMDFjMDZkGikSCjIwMjYtMTAtMDdqDQgCEgkvbS8wMWMwNmRyDAgCEggvbS8wNndqZkABSAFwAYIBCwj___________8BmAEB&amp;tfu=CmxDalJJYTBKcFduQjNPRU4zUjFGQlJYSnlaR2RDUnkwdExTMHRMWE5sY0dReE1TMXVNVUZCUVVGQlIzRlpRMTlWUkVaTldFbEJFZ1pEV2pnM05UVWFDZ2k0SmhBQUdnTkRUbGs0SFhEMXV3UT0SAggAIgA&amp;hl=zh-CN&amp;curr=CNY</x:v>
      </x:c>
    </x:row>
    <x:row r="131" ht="42" customHeight="1">
      <x:c r="A131" s="85" t="n">
        <x:f>ROW()-7</x:f>
        <x:v>124</x:v>
      </x:c>
      <x:c r="B131" s="86" t="n">
        <x:v>46297</x:v>
      </x:c>
      <x:c r="C131" s="86" t="n">
        <x:v>46303</x:v>
      </x:c>
      <x:c r="D131" s="87" t="n">
        <x:v>6</x:v>
      </x:c>
      <x:c r="E131" s="88" t="str">
        <x:v>南航</x:v>
      </x:c>
      <x:c r="F131" s="88" t="str">
        <x:v>14:50</x:v>
      </x:c>
      <x:c r="G131" s="88" t="str">
        <x:v>18:20</x:v>
      </x:c>
      <x:c r="H131" s="88" t="str">
        <x:v>上海浦东国际机场</x:v>
      </x:c>
      <x:c r="I131" s="88" t="str">
        <x:v>昆明长水国际机场</x:v>
      </x:c>
      <x:c r="J131" s="88" t="n">
        <x:v>0</x:v>
      </x:c>
      <x:c r="K131" s="88" t="str">
        <x:v>—</x:v>
      </x:c>
      <x:c r="L131" s="88" t="str">
        <x:v>3 小时 30 分钟</x:v>
      </x:c>
      <x:c r="M131" s="89" t="n">
        <x:v>4920</x:v>
      </x:c>
      <x:c r="N131" s="89" t="n">
        <x:v>0</x:v>
      </x:c>
      <x:c r="O131" s="89" t="n">
        <x:f>M131+N131</x:f>
        <x:v>4920</x:v>
      </x:c>
      <x:c r="P131" s="88" t="str">
        <x:f>IF(O131&lt;5000,"是","否")</x:f>
        <x:v>是</x:v>
      </x:c>
      <x:c r="Q131" s="90" t="str">
        <x:v>国内经济舱通常含20kg；出票前须按实际票价等级复核</x:v>
      </x:c>
      <x:c r="R131" s="90" t="str">
        <x:v>该去程对应的最低可订返程组合；具体返程航班需打开来源链接确认</x:v>
      </x:c>
      <x:c r="S131" s="91" t="n">
        <x:v>46267.74517780093</x:v>
      </x:c>
      <x:c r="T131" s="92" t="str">
        <x:v>https://www.google.com/travel/flights?hl=zh-CN&amp;curr=CNY&amp;q=Flights%20from%20Shanghai%20to%20Kunming%20from%202026-10-02%20to%202026-10-08</x:v>
      </x:c>
      <x:c r="U131" s="136" t="n">
        <x:v>46303</x:v>
      </x:c>
      <x:c r="V131" s="90" t="str">
        <x:v>12:15</x:v>
      </x:c>
      <x:c r="W131" s="90" t="str">
        <x:v>昆明长水国际机场</x:v>
      </x:c>
      <x:c r="X131" s="137" t="n">
        <x:v>46303</x:v>
      </x:c>
      <x:c r="Y131" s="90" t="str">
        <x:v>15:30</x:v>
      </x:c>
      <x:c r="Z131" s="90" t="str">
        <x:v>上海浦东国际机场</x:v>
      </x:c>
      <x:c r="AA131" s="90" t="str">
        <x:v>南航</x:v>
      </x:c>
      <x:c r="AB131" s="90" t="n">
        <x:v>0</x:v>
      </x:c>
      <x:c r="AC131" s="90" t="str">
        <x:v>3 小时 15 分钟</x:v>
      </x:c>
      <x:c r="AD131" s="138" t="n">
        <x:v>4920</x:v>
      </x:c>
      <x:c r="AE131" s="90" t="str">
        <x:v>匹配原始往返起价</x:v>
      </x:c>
      <x:c r="AF131" s="92" t="str">
        <x:v>https://www.google.com/travel/flights/search?tfs=CBwQAhpLEgoyMDI2LTEwLTAyIiAKA1BWRxIKMjAyNi0xMC0wMhoDS01HKgJDWjIEODc1NWoMCAISCC9tLzA2d2pmcg0IAhIJL20vMDFjMDZkGikSCjIwMjYtMTAtMDhqDQgCEgkvbS8wMWMwNmRyDAgCEggvbS8wNndqZkABSAFwAYIBCwj___________8BmAEB&amp;tfu=CmxDalJJVEVWeVNtOXViVTh0ZVZGQlJXOUZWV2RDUnkwdExTMHRMUzB0TFMxelpXTmpPVUZCUVVGQlIzRlpRMTlWUkc0MFVsZEJFZ1pEV2pnM05UVWFDZ2k0SmhBQUdnTkRUbGs0SFhEMXV3UT0SAggAIgA&amp;hl=zh-CN&amp;curr=CNY</x:v>
      </x:c>
    </x:row>
    <x:row r="132" ht="42" customHeight="1">
      <x:c r="A132" s="85" t="n">
        <x:f>ROW()-7</x:f>
        <x:v>125</x:v>
      </x:c>
      <x:c r="B132" s="86" t="n">
        <x:v>46297</x:v>
      </x:c>
      <x:c r="C132" s="86" t="n">
        <x:v>46304</x:v>
      </x:c>
      <x:c r="D132" s="87" t="n">
        <x:v>7</x:v>
      </x:c>
      <x:c r="E132" s="88" t="str">
        <x:v>南航</x:v>
      </x:c>
      <x:c r="F132" s="88" t="str">
        <x:v>14:50</x:v>
      </x:c>
      <x:c r="G132" s="88" t="str">
        <x:v>18:20</x:v>
      </x:c>
      <x:c r="H132" s="88" t="str">
        <x:v>上海浦东国际机场</x:v>
      </x:c>
      <x:c r="I132" s="88" t="str">
        <x:v>昆明长水国际机场</x:v>
      </x:c>
      <x:c r="J132" s="88" t="n">
        <x:v>0</x:v>
      </x:c>
      <x:c r="K132" s="88" t="str">
        <x:v>—</x:v>
      </x:c>
      <x:c r="L132" s="88" t="str">
        <x:v>3 小时 30 分钟</x:v>
      </x:c>
      <x:c r="M132" s="89" t="n">
        <x:v>4920</x:v>
      </x:c>
      <x:c r="N132" s="89" t="n">
        <x:v>0</x:v>
      </x:c>
      <x:c r="O132" s="89" t="n">
        <x:f>M132+N132</x:f>
        <x:v>4920</x:v>
      </x:c>
      <x:c r="P132" s="88" t="str">
        <x:f>IF(O132&lt;5000,"是","否")</x:f>
        <x:v>是</x:v>
      </x:c>
      <x:c r="Q132" s="90" t="str">
        <x:v>国内经济舱通常含20kg；出票前须按实际票价等级复核</x:v>
      </x:c>
      <x:c r="R132" s="90" t="str">
        <x:v>该去程对应的最低可订返程组合；具体返程航班需打开来源链接确认</x:v>
      </x:c>
      <x:c r="S132" s="91" t="n">
        <x:v>46267.74517780093</x:v>
      </x:c>
      <x:c r="T132" s="92" t="str">
        <x:v>https://www.google.com/travel/flights?hl=zh-CN&amp;curr=CNY&amp;q=Flights%20from%20Shanghai%20to%20Kunming%20from%202026-10-02%20to%202026-10-09</x:v>
      </x:c>
      <x:c r="U132" s="136" t="n">
        <x:v>46304</x:v>
      </x:c>
      <x:c r="V132" s="90" t="str">
        <x:v>12:15</x:v>
      </x:c>
      <x:c r="W132" s="90" t="str">
        <x:v>昆明长水国际机场</x:v>
      </x:c>
      <x:c r="X132" s="137" t="n">
        <x:v>46304</x:v>
      </x:c>
      <x:c r="Y132" s="90" t="str">
        <x:v>15:30</x:v>
      </x:c>
      <x:c r="Z132" s="90" t="str">
        <x:v>上海浦东国际机场</x:v>
      </x:c>
      <x:c r="AA132" s="90" t="str">
        <x:v>南航</x:v>
      </x:c>
      <x:c r="AB132" s="90" t="n">
        <x:v>0</x:v>
      </x:c>
      <x:c r="AC132" s="90" t="str">
        <x:v>3 小时 15 分钟</x:v>
      </x:c>
      <x:c r="AD132" s="138" t="n">
        <x:v>4920</x:v>
      </x:c>
      <x:c r="AE132" s="90" t="str">
        <x:v>匹配原始往返起价</x:v>
      </x:c>
      <x:c r="AF132" s="92" t="str">
        <x:v>https://www.google.com/travel/flights/search?tfs=CBwQAhpLEgoyMDI2LTEwLTAyIiAKA1BWRxIKMjAyNi0xMC0wMhoDS01HKgJDWjIEODc1NWoMCAISCC9tLzA2d2pmcg0IAhIJL20vMDFjMDZkGikSCjIwMjYtMTAtMDlqDQgCEgkvbS8wMWMwNmRyDAgCEggvbS8wNndqZkABSAFwAYIBCwj___________8BmAEB&amp;tfu=CmxDalJJU0dwUmRETldNWGhSUVd0QlJsWXlUMUZDUnkwdExTMHRMUzB0TFhOdFltUjFPVUZCUVVGQlIzRlpRMTh3UldJeVNUQkJFZ1pEV2pnM05UVWFDZ2k0SmhBQUdnTkRUbGs0SFhEMXV3UT0SAggAIgA&amp;hl=zh-CN&amp;curr=CNY</x:v>
      </x:c>
    </x:row>
    <x:row r="133" ht="42" customHeight="1">
      <x:c r="A133" s="85" t="n">
        <x:f>ROW()-7</x:f>
        <x:v>126</x:v>
      </x:c>
      <x:c r="B133" s="86" t="n">
        <x:v>46298</x:v>
      </x:c>
      <x:c r="C133" s="86" t="n">
        <x:v>46303</x:v>
      </x:c>
      <x:c r="D133" s="87" t="n">
        <x:v>5</x:v>
      </x:c>
      <x:c r="E133" s="88" t="str">
        <x:v>南航</x:v>
      </x:c>
      <x:c r="F133" s="88" t="str">
        <x:v>07:40</x:v>
      </x:c>
      <x:c r="G133" s="88" t="str">
        <x:v>11:10</x:v>
      </x:c>
      <x:c r="H133" s="88" t="str">
        <x:v>上海浦东国际机场</x:v>
      </x:c>
      <x:c r="I133" s="88" t="str">
        <x:v>昆明长水国际机场</x:v>
      </x:c>
      <x:c r="J133" s="88" t="n">
        <x:v>0</x:v>
      </x:c>
      <x:c r="K133" s="88" t="str">
        <x:v>—</x:v>
      </x:c>
      <x:c r="L133" s="88" t="str">
        <x:v>3 小时 30 分钟</x:v>
      </x:c>
      <x:c r="M133" s="89" t="n">
        <x:v>4920</x:v>
      </x:c>
      <x:c r="N133" s="89" t="n">
        <x:v>0</x:v>
      </x:c>
      <x:c r="O133" s="89" t="n">
        <x:f>M133+N133</x:f>
        <x:v>4920</x:v>
      </x:c>
      <x:c r="P133" s="88" t="str">
        <x:f>IF(O133&lt;5000,"是","否")</x:f>
        <x:v>是</x:v>
      </x:c>
      <x:c r="Q133" s="90" t="str">
        <x:v>国内经济舱通常含20kg；出票前须按实际票价等级复核</x:v>
      </x:c>
      <x:c r="R133" s="90" t="str">
        <x:v>该去程对应的最低可订返程组合；具体返程航班需打开来源链接确认</x:v>
      </x:c>
      <x:c r="S133" s="91" t="n">
        <x:v>46267.74517780093</x:v>
      </x:c>
      <x:c r="T133" s="92" t="str">
        <x:v>https://www.google.com/travel/flights?hl=zh-CN&amp;curr=CNY&amp;q=Flights%20from%20Shanghai%20to%20Kunming%20from%202026-10-03%20to%202026-10-08</x:v>
      </x:c>
      <x:c r="U133" s="136" t="n">
        <x:v>46303</x:v>
      </x:c>
      <x:c r="V133" s="90" t="str">
        <x:v>12:15</x:v>
      </x:c>
      <x:c r="W133" s="90" t="str">
        <x:v>昆明长水国际机场</x:v>
      </x:c>
      <x:c r="X133" s="137" t="n">
        <x:v>46303</x:v>
      </x:c>
      <x:c r="Y133" s="90" t="str">
        <x:v>15:30</x:v>
      </x:c>
      <x:c r="Z133" s="90" t="str">
        <x:v>上海浦东国际机场</x:v>
      </x:c>
      <x:c r="AA133" s="90" t="str">
        <x:v>南航</x:v>
      </x:c>
      <x:c r="AB133" s="90" t="n">
        <x:v>0</x:v>
      </x:c>
      <x:c r="AC133" s="90" t="str">
        <x:v>3 小时 15 分钟</x:v>
      </x:c>
      <x:c r="AD133" s="138" t="n">
        <x:v>4920</x:v>
      </x:c>
      <x:c r="AE133" s="90" t="str">
        <x:v>匹配原始往返起价</x:v>
      </x:c>
      <x:c r="AF133" s="92" t="str">
        <x:v>https://www.google.com/travel/flights/search?tfs=CBwQAhpLEgoyMDI2LTEwLTAzIiAKA1BWRxIKMjAyNi0xMC0wMxoDS01HKgJDWjIEMzY3N2oMCAISCC9tLzA2d2pmcg0IAhIJL20vMDFjMDZkGikSCjIwMjYtMTAtMDhqDQgCEgkvbS8wMWMwNmRyDAgCEggvbS8wNndqZkABSAFwAYIBCwj___________8BmAEB&amp;tfu=CmxDalJJT1hWcVIzUnVRa3BOUjAxQlJGOUNhSGRDUnkwdExTMHRMWE50ZEhneE5pMXVNa0ZCUVVGQlIzRlpRMTh3UlVNMVpGVkJFZ1pEV2pNMk56Y2FDZ2k0SmhBQUdnTkRUbGs0SFhEMXV3UT0SAggAIgA&amp;hl=zh-CN&amp;curr=CNY</x:v>
      </x:c>
    </x:row>
    <x:row r="134" ht="42" customHeight="1">
      <x:c r="A134" s="85" t="n">
        <x:f>ROW()-7</x:f>
        <x:v>127</x:v>
      </x:c>
      <x:c r="B134" s="86" t="n">
        <x:v>46298</x:v>
      </x:c>
      <x:c r="C134" s="86" t="n">
        <x:v>46303</x:v>
      </x:c>
      <x:c r="D134" s="87" t="n">
        <x:v>5</x:v>
      </x:c>
      <x:c r="E134" s="88" t="str">
        <x:v>南航</x:v>
      </x:c>
      <x:c r="F134" s="88" t="str">
        <x:v>14:50</x:v>
      </x:c>
      <x:c r="G134" s="88" t="str">
        <x:v>18:20</x:v>
      </x:c>
      <x:c r="H134" s="88" t="str">
        <x:v>上海浦东国际机场</x:v>
      </x:c>
      <x:c r="I134" s="88" t="str">
        <x:v>昆明长水国际机场</x:v>
      </x:c>
      <x:c r="J134" s="88" t="n">
        <x:v>0</x:v>
      </x:c>
      <x:c r="K134" s="88" t="str">
        <x:v>—</x:v>
      </x:c>
      <x:c r="L134" s="88" t="str">
        <x:v>3 小时 30 分钟</x:v>
      </x:c>
      <x:c r="M134" s="89" t="n">
        <x:v>4920</x:v>
      </x:c>
      <x:c r="N134" s="89" t="n">
        <x:v>0</x:v>
      </x:c>
      <x:c r="O134" s="89" t="n">
        <x:f>M134+N134</x:f>
        <x:v>4920</x:v>
      </x:c>
      <x:c r="P134" s="88" t="str">
        <x:f>IF(O134&lt;5000,"是","否")</x:f>
        <x:v>是</x:v>
      </x:c>
      <x:c r="Q134" s="90" t="str">
        <x:v>国内经济舱通常含20kg；出票前须按实际票价等级复核</x:v>
      </x:c>
      <x:c r="R134" s="90" t="str">
        <x:v>该去程对应的最低可订返程组合；具体返程航班需打开来源链接确认</x:v>
      </x:c>
      <x:c r="S134" s="91" t="n">
        <x:v>46267.74517780093</x:v>
      </x:c>
      <x:c r="T134" s="92" t="str">
        <x:v>https://www.google.com/travel/flights?hl=zh-CN&amp;curr=CNY&amp;q=Flights%20from%20Shanghai%20to%20Kunming%20from%202026-10-03%20to%202026-10-08</x:v>
      </x:c>
      <x:c r="U134" s="136" t="n">
        <x:v>46303</x:v>
      </x:c>
      <x:c r="V134" s="90" t="str">
        <x:v>12:15</x:v>
      </x:c>
      <x:c r="W134" s="90" t="str">
        <x:v>昆明长水国际机场</x:v>
      </x:c>
      <x:c r="X134" s="137" t="n">
        <x:v>46303</x:v>
      </x:c>
      <x:c r="Y134" s="90" t="str">
        <x:v>15:30</x:v>
      </x:c>
      <x:c r="Z134" s="90" t="str">
        <x:v>上海浦东国际机场</x:v>
      </x:c>
      <x:c r="AA134" s="90" t="str">
        <x:v>南航</x:v>
      </x:c>
      <x:c r="AB134" s="90" t="n">
        <x:v>0</x:v>
      </x:c>
      <x:c r="AC134" s="90" t="str">
        <x:v>3 小时 15 分钟</x:v>
      </x:c>
      <x:c r="AD134" s="138" t="n">
        <x:v>4920</x:v>
      </x:c>
      <x:c r="AE134" s="90" t="str">
        <x:v>匹配原始往返起价</x:v>
      </x:c>
      <x:c r="AF134" s="92" t="str">
        <x:v>https://www.google.com/travel/flights/search?tfs=CBwQAhpLEgoyMDI2LTEwLTAzIiAKA1BWRxIKMjAyNi0xMC0wMxoDS01HKgJDWjIEODc1NWoMCAISCC9tLzA2d2pmcg0IAhIJL20vMDFjMDZkGikSCjIwMjYtMTAtMDhqDQgCEgkvbS8wMWMwNmRyDAgCEggvbS8wNndqZkABSAFwAYIBCwj___________8BmAEB&amp;tfu=CmxDalJJTlU4M1RFRndjM05IY25OQlJsZHBVMEZDUnkwdExTMHRMUzB0TFhOdFltUm5ORUZCUVVGQlIzRlpSRUZCUXpGWWJYVkJFZ1pEV2pnM05UVWFDZ2k0SmhBQUdnTkRUbGs0SEhEMXV3UT0SAggAIgA&amp;hl=zh-CN&amp;curr=CNY</x:v>
      </x:c>
    </x:row>
    <x:row r="135" ht="42" customHeight="1">
      <x:c r="A135" s="85" t="n">
        <x:f>ROW()-7</x:f>
        <x:v>128</x:v>
      </x:c>
      <x:c r="B135" s="86" t="n">
        <x:v>46299</x:v>
      </x:c>
      <x:c r="C135" s="86" t="n">
        <x:v>46303</x:v>
      </x:c>
      <x:c r="D135" s="87" t="n">
        <x:v>4</x:v>
      </x:c>
      <x:c r="E135" s="88" t="str">
        <x:v>南航</x:v>
      </x:c>
      <x:c r="F135" s="88" t="str">
        <x:v>07:40</x:v>
      </x:c>
      <x:c r="G135" s="88" t="str">
        <x:v>11:10</x:v>
      </x:c>
      <x:c r="H135" s="88" t="str">
        <x:v>上海浦东国际机场</x:v>
      </x:c>
      <x:c r="I135" s="88" t="str">
        <x:v>昆明长水国际机场</x:v>
      </x:c>
      <x:c r="J135" s="88" t="n">
        <x:v>0</x:v>
      </x:c>
      <x:c r="K135" s="88" t="str">
        <x:v>—</x:v>
      </x:c>
      <x:c r="L135" s="88" t="str">
        <x:v>3 小时 30 分钟</x:v>
      </x:c>
      <x:c r="M135" s="89" t="n">
        <x:v>4920</x:v>
      </x:c>
      <x:c r="N135" s="89" t="n">
        <x:v>0</x:v>
      </x:c>
      <x:c r="O135" s="89" t="n">
        <x:f>M135+N135</x:f>
        <x:v>4920</x:v>
      </x:c>
      <x:c r="P135" s="88" t="str">
        <x:f>IF(O135&lt;5000,"是","否")</x:f>
        <x:v>是</x:v>
      </x:c>
      <x:c r="Q135" s="90" t="str">
        <x:v>国内经济舱通常含20kg；出票前须按实际票价等级复核</x:v>
      </x:c>
      <x:c r="R135" s="90" t="str">
        <x:v>该去程对应的最低可订返程组合；具体返程航班需打开来源链接确认</x:v>
      </x:c>
      <x:c r="S135" s="91" t="n">
        <x:v>46267.74517780093</x:v>
      </x:c>
      <x:c r="T135" s="92" t="str">
        <x:v>https://www.google.com/travel/flights?hl=zh-CN&amp;curr=CNY&amp;q=Flights%20from%20Shanghai%20to%20Kunming%20from%202026-10-04%20to%202026-10-08</x:v>
      </x:c>
      <x:c r="U135" s="136" t="n">
        <x:v>46303</x:v>
      </x:c>
      <x:c r="V135" s="90" t="str">
        <x:v>12:15</x:v>
      </x:c>
      <x:c r="W135" s="90" t="str">
        <x:v>昆明长水国际机场</x:v>
      </x:c>
      <x:c r="X135" s="137" t="n">
        <x:v>46303</x:v>
      </x:c>
      <x:c r="Y135" s="90" t="str">
        <x:v>15:30</x:v>
      </x:c>
      <x:c r="Z135" s="90" t="str">
        <x:v>上海浦东国际机场</x:v>
      </x:c>
      <x:c r="AA135" s="90" t="str">
        <x:v>南航</x:v>
      </x:c>
      <x:c r="AB135" s="90" t="n">
        <x:v>0</x:v>
      </x:c>
      <x:c r="AC135" s="90" t="str">
        <x:v>3 小时 15 分钟</x:v>
      </x:c>
      <x:c r="AD135" s="138" t="n">
        <x:v>4920</x:v>
      </x:c>
      <x:c r="AE135" s="90" t="str">
        <x:v>匹配原始往返起价</x:v>
      </x:c>
      <x:c r="AF135" s="92" t="str">
        <x:v>https://www.google.com/travel/flights/search?tfs=CBwQAhpLEgoyMDI2LTEwLTA0IiAKA1BWRxIKMjAyNi0xMC0wNBoDS01HKgJDWjIEMzY3N2oMCAISCC9tLzA2d2pmcg0IAhIJL20vMDFjMDZkGikSCjIwMjYtMTAtMDhqDQgCEgkvbS8wMWMwNmRyDAgCEggvbS8wNndqZkABSAFwAYIBCwj___________8BmAEB&amp;tfu=CmxDalJJT1hWcVIzUnVRa3BOUjAxQlJGOUNhRkZDUnkwdExTMHRMWE50ZEhneE5pMXVNa0ZCUVVGQlIzRlpRMTh3Ukd0NlJWRkJFZ1pEV2pNMk56Y2FDZ2lYRmhBQUdnTkRUbGs0SFhDQ3lnST0SAggAIgMSATA&amp;hl=zh-CN&amp;curr=CNY</x:v>
      </x:c>
    </x:row>
    <x:row r="136" ht="42" customHeight="1">
      <x:c r="A136" s="85" t="n">
        <x:f>ROW()-7</x:f>
        <x:v>129</x:v>
      </x:c>
      <x:c r="B136" s="86" t="n">
        <x:v>46299</x:v>
      </x:c>
      <x:c r="C136" s="86" t="n">
        <x:v>46303</x:v>
      </x:c>
      <x:c r="D136" s="87" t="n">
        <x:v>4</x:v>
      </x:c>
      <x:c r="E136" s="88" t="str">
        <x:v>南航</x:v>
      </x:c>
      <x:c r="F136" s="88" t="str">
        <x:v>14:50</x:v>
      </x:c>
      <x:c r="G136" s="88" t="str">
        <x:v>18:20</x:v>
      </x:c>
      <x:c r="H136" s="88" t="str">
        <x:v>上海浦东国际机场</x:v>
      </x:c>
      <x:c r="I136" s="88" t="str">
        <x:v>昆明长水国际机场</x:v>
      </x:c>
      <x:c r="J136" s="88" t="n">
        <x:v>0</x:v>
      </x:c>
      <x:c r="K136" s="88" t="str">
        <x:v>—</x:v>
      </x:c>
      <x:c r="L136" s="88" t="str">
        <x:v>3 小时 30 分钟</x:v>
      </x:c>
      <x:c r="M136" s="89" t="n">
        <x:v>4920</x:v>
      </x:c>
      <x:c r="N136" s="89" t="n">
        <x:v>0</x:v>
      </x:c>
      <x:c r="O136" s="89" t="n">
        <x:f>M136+N136</x:f>
        <x:v>4920</x:v>
      </x:c>
      <x:c r="P136" s="88" t="str">
        <x:f>IF(O136&lt;5000,"是","否")</x:f>
        <x:v>是</x:v>
      </x:c>
      <x:c r="Q136" s="90" t="str">
        <x:v>国内经济舱通常含20kg；出票前须按实际票价等级复核</x:v>
      </x:c>
      <x:c r="R136" s="90" t="str">
        <x:v>该去程对应的最低可订返程组合；具体返程航班需打开来源链接确认</x:v>
      </x:c>
      <x:c r="S136" s="91" t="n">
        <x:v>46267.74517780093</x:v>
      </x:c>
      <x:c r="T136" s="92" t="str">
        <x:v>https://www.google.com/travel/flights?hl=zh-CN&amp;curr=CNY&amp;q=Flights%20from%20Shanghai%20to%20Kunming%20from%202026-10-04%20to%202026-10-08</x:v>
      </x:c>
      <x:c r="U136" s="136" t="n">
        <x:v>46303</x:v>
      </x:c>
      <x:c r="V136" s="90" t="str">
        <x:v>12:15</x:v>
      </x:c>
      <x:c r="W136" s="90" t="str">
        <x:v>昆明长水国际机场</x:v>
      </x:c>
      <x:c r="X136" s="137" t="n">
        <x:v>46303</x:v>
      </x:c>
      <x:c r="Y136" s="90" t="str">
        <x:v>15:30</x:v>
      </x:c>
      <x:c r="Z136" s="90" t="str">
        <x:v>上海浦东国际机场</x:v>
      </x:c>
      <x:c r="AA136" s="90" t="str">
        <x:v>南航</x:v>
      </x:c>
      <x:c r="AB136" s="90" t="n">
        <x:v>0</x:v>
      </x:c>
      <x:c r="AC136" s="90" t="str">
        <x:v>3 小时 15 分钟</x:v>
      </x:c>
      <x:c r="AD136" s="138" t="n">
        <x:v>4920</x:v>
      </x:c>
      <x:c r="AE136" s="90" t="str">
        <x:v>匹配原始往返起价</x:v>
      </x:c>
      <x:c r="AF136" s="92" t="str">
        <x:v>https://www.google.com/travel/flights/search?tfs=CBwQAhpLEgoyMDI2LTEwLTA0IiAKA1BWRxIKMjAyNi0xMC0wNBoDS01HKgJDWjIEODc1NWoMCAISCC9tLzA2d2pmcg0IAhIJL20vMDFjMDZkGikSCjIwMjYtMTAtMDhqDQgCEgkvbS8wMWMwNmRyDAgCEggvbS8wNndqZkABSAFwAYIBCwj___________8BmAEB&amp;tfu=CmxDalJJZEU5VWJEQndRbVpTWVhkQlIySlZWMEZDUnkwdExTMHRMUzB0YzJWaVozSXpNMEZCUVVGQlIzRlpSRUV3UWxkak1XdEJFZ1pEV2pnM05UVWFDZ2k0SmhBQUdnTkRUbGs0SFhEMXV3UT0SAggAIgA&amp;hl=zh-CN&amp;curr=CNY</x:v>
      </x:c>
    </x:row>
    <x:row r="137" ht="42" customHeight="1">
      <x:c r="A137" s="85" t="n">
        <x:f>ROW()-7</x:f>
        <x:v>130</x:v>
      </x:c>
      <x:c r="B137" s="86" t="n">
        <x:v>46300</x:v>
      </x:c>
      <x:c r="C137" s="86" t="n">
        <x:v>46304</x:v>
      </x:c>
      <x:c r="D137" s="87" t="n">
        <x:v>4</x:v>
      </x:c>
      <x:c r="E137" s="88" t="str">
        <x:v>南航</x:v>
      </x:c>
      <x:c r="F137" s="88" t="str">
        <x:v>07:40</x:v>
      </x:c>
      <x:c r="G137" s="88" t="str">
        <x:v>11:10</x:v>
      </x:c>
      <x:c r="H137" s="88" t="str">
        <x:v>上海浦东国际机场</x:v>
      </x:c>
      <x:c r="I137" s="88" t="str">
        <x:v>昆明长水国际机场</x:v>
      </x:c>
      <x:c r="J137" s="88" t="n">
        <x:v>0</x:v>
      </x:c>
      <x:c r="K137" s="88" t="str">
        <x:v>—</x:v>
      </x:c>
      <x:c r="L137" s="88" t="str">
        <x:v>3 小时 30 分钟</x:v>
      </x:c>
      <x:c r="M137" s="89" t="n">
        <x:v>4920</x:v>
      </x:c>
      <x:c r="N137" s="89" t="n">
        <x:v>0</x:v>
      </x:c>
      <x:c r="O137" s="89" t="n">
        <x:f>M137+N137</x:f>
        <x:v>4920</x:v>
      </x:c>
      <x:c r="P137" s="88" t="str">
        <x:f>IF(O137&lt;5000,"是","否")</x:f>
        <x:v>是</x:v>
      </x:c>
      <x:c r="Q137" s="90" t="str">
        <x:v>国内经济舱通常含20kg；出票前须按实际票价等级复核</x:v>
      </x:c>
      <x:c r="R137" s="90" t="str">
        <x:v>该去程对应的最低可订返程组合；具体返程航班需打开来源链接确认</x:v>
      </x:c>
      <x:c r="S137" s="91" t="n">
        <x:v>46267.74517780093</x:v>
      </x:c>
      <x:c r="T137" s="92" t="str">
        <x:v>https://www.google.com/travel/flights?hl=zh-CN&amp;curr=CNY&amp;q=Flights%20from%20Shanghai%20to%20Kunming%20from%202026-10-05%20to%202026-10-09</x:v>
      </x:c>
      <x:c r="U137" s="136" t="n">
        <x:v>46304</x:v>
      </x:c>
      <x:c r="V137" s="90" t="str">
        <x:v>12:15</x:v>
      </x:c>
      <x:c r="W137" s="90" t="str">
        <x:v>昆明长水国际机场</x:v>
      </x:c>
      <x:c r="X137" s="137" t="n">
        <x:v>46304</x:v>
      </x:c>
      <x:c r="Y137" s="90" t="str">
        <x:v>15:30</x:v>
      </x:c>
      <x:c r="Z137" s="90" t="str">
        <x:v>上海浦东国际机场</x:v>
      </x:c>
      <x:c r="AA137" s="90" t="str">
        <x:v>南航</x:v>
      </x:c>
      <x:c r="AB137" s="90" t="n">
        <x:v>0</x:v>
      </x:c>
      <x:c r="AC137" s="90" t="str">
        <x:v>3 小时 15 分钟</x:v>
      </x:c>
      <x:c r="AD137" s="138" t="n">
        <x:v>4920</x:v>
      </x:c>
      <x:c r="AE137" s="90" t="str">
        <x:v>匹配原始往返起价</x:v>
      </x:c>
      <x:c r="AF137" s="92" t="str">
        <x:v>https://www.google.com/travel/flights/search?tfs=CBwQAhpLEgoyMDI2LTEwLTA1IiAKA1BWRxIKMjAyNi0xMC0wNRoDS01HKgJDWjIEMzY3N2oMCAISCC9tLzA2d2pmcg0IAhIJL20vMDFjMDZkGikSCjIwMjYtMTAtMDlqDQgCEgkvbS8wMWMwNmRyDAgCEggvbS8wNndqZkABSAFwAYIBCwj___________8BmAEB&amp;tfu=CmxDalJJWkZWWlJYTm9WSE5zUkc5QlJVVTJOMEZDUnkwdExTMHRMWE50WW1aM09TMXVNVUZCUVVGQlIzRlpSRUV3UVhodFNXbEJFZ1pEV2pNMk56Y2FDZ2plSXhBQUdnTkRUbGs0SFhEWmt3UT0SAggAIgMSATA&amp;hl=zh-CN&amp;curr=CNY</x:v>
      </x:c>
    </x:row>
    <x:row r="138" ht="42" customHeight="1">
      <x:c r="A138" s="85" t="n">
        <x:f>ROW()-7</x:f>
        <x:v>131</x:v>
      </x:c>
      <x:c r="B138" s="86" t="n">
        <x:v>46300</x:v>
      </x:c>
      <x:c r="C138" s="86" t="n">
        <x:v>46304</x:v>
      </x:c>
      <x:c r="D138" s="87" t="n">
        <x:v>4</x:v>
      </x:c>
      <x:c r="E138" s="88" t="str">
        <x:v>南航</x:v>
      </x:c>
      <x:c r="F138" s="88" t="str">
        <x:v>14:50</x:v>
      </x:c>
      <x:c r="G138" s="88" t="str">
        <x:v>18:20</x:v>
      </x:c>
      <x:c r="H138" s="88" t="str">
        <x:v>上海浦东国际机场</x:v>
      </x:c>
      <x:c r="I138" s="88" t="str">
        <x:v>昆明长水国际机场</x:v>
      </x:c>
      <x:c r="J138" s="88" t="n">
        <x:v>0</x:v>
      </x:c>
      <x:c r="K138" s="88" t="str">
        <x:v>—</x:v>
      </x:c>
      <x:c r="L138" s="88" t="str">
        <x:v>3 小时 30 分钟</x:v>
      </x:c>
      <x:c r="M138" s="89" t="n">
        <x:v>4920</x:v>
      </x:c>
      <x:c r="N138" s="89" t="n">
        <x:v>0</x:v>
      </x:c>
      <x:c r="O138" s="89" t="n">
        <x:f>M138+N138</x:f>
        <x:v>4920</x:v>
      </x:c>
      <x:c r="P138" s="88" t="str">
        <x:f>IF(O138&lt;5000,"是","否")</x:f>
        <x:v>是</x:v>
      </x:c>
      <x:c r="Q138" s="90" t="str">
        <x:v>国内经济舱通常含20kg；出票前须按实际票价等级复核</x:v>
      </x:c>
      <x:c r="R138" s="90" t="str">
        <x:v>该去程对应的最低可订返程组合；具体返程航班需打开来源链接确认</x:v>
      </x:c>
      <x:c r="S138" s="91" t="n">
        <x:v>46267.74517780093</x:v>
      </x:c>
      <x:c r="T138" s="92" t="str">
        <x:v>https://www.google.com/travel/flights?hl=zh-CN&amp;curr=CNY&amp;q=Flights%20from%20Shanghai%20to%20Kunming%20from%202026-10-05%20to%202026-10-09</x:v>
      </x:c>
      <x:c r="U138" s="136" t="n">
        <x:v>46304</x:v>
      </x:c>
      <x:c r="V138" s="90" t="str">
        <x:v>12:15</x:v>
      </x:c>
      <x:c r="W138" s="90" t="str">
        <x:v>昆明长水国际机场</x:v>
      </x:c>
      <x:c r="X138" s="137" t="n">
        <x:v>46304</x:v>
      </x:c>
      <x:c r="Y138" s="90" t="str">
        <x:v>15:30</x:v>
      </x:c>
      <x:c r="Z138" s="90" t="str">
        <x:v>上海浦东国际机场</x:v>
      </x:c>
      <x:c r="AA138" s="90" t="str">
        <x:v>南航</x:v>
      </x:c>
      <x:c r="AB138" s="90" t="n">
        <x:v>0</x:v>
      </x:c>
      <x:c r="AC138" s="90" t="str">
        <x:v>3 小时 15 分钟</x:v>
      </x:c>
      <x:c r="AD138" s="138" t="n">
        <x:v>4920</x:v>
      </x:c>
      <x:c r="AE138" s="90" t="str">
        <x:v>匹配原始往返起价</x:v>
      </x:c>
      <x:c r="AF138" s="92" t="str">
        <x:v>https://www.google.com/travel/flights/search?tfs=CBwQAhpLEgoyMDI2LTEwLTA1IiAKA1BWRxIKMjAyNi0xMC0wNRoDS01HKgJDWjIEODc1NWoMCAISCC9tLzA2d2pmcg0IAhIJL20vMDFjMDZkGikSCjIwMjYtMTAtMDlqDQgCEgkvbS8wMWMwNmRyDAgCEggvbS8wNndqZkABSAFwAYIBCwj___________8BmAEB&amp;tfu=CmxDalJJYzJVMFgxRk5PR1JrWVZsQlJERnhhSGRDUnkwdExTMHRMUzB0TFMxemJYUjVOa0ZCUVVGQlIzRlpSRUpCUXpVelkyMUJFZ1pEV2pnM05UVWFDZ2plSXhBQUdnTkRUbGs0SEhEWmt3UT0SAggAIgA&amp;hl=zh-CN&amp;curr=CNY</x:v>
      </x:c>
    </x:row>
    <x:row r="139" ht="42" customHeight="1">
      <x:c r="A139" s="85" t="n">
        <x:f>ROW()-7</x:f>
        <x:v>132</x:v>
      </x:c>
      <x:c r="B139" s="86" t="n">
        <x:v>46297</x:v>
      </x:c>
      <x:c r="C139" s="86" t="n">
        <x:v>46302</x:v>
      </x:c>
      <x:c r="D139" s="87" t="n">
        <x:v>5</x:v>
      </x:c>
      <x:c r="E139" s="88" t="str">
        <x:v>吉祥航空</x:v>
      </x:c>
      <x:c r="F139" s="88" t="str">
        <x:v>14:50</x:v>
      </x:c>
      <x:c r="G139" s="88" t="str">
        <x:v>18:20</x:v>
      </x:c>
      <x:c r="H139" s="88" t="str">
        <x:v>上海浦东国际机场</x:v>
      </x:c>
      <x:c r="I139" s="88" t="str">
        <x:v>昆明长水国际机场</x:v>
      </x:c>
      <x:c r="J139" s="88" t="n">
        <x:v>0</x:v>
      </x:c>
      <x:c r="K139" s="88" t="str">
        <x:v>—</x:v>
      </x:c>
      <x:c r="L139" s="88" t="str">
        <x:v>3 小时 30 分钟</x:v>
      </x:c>
      <x:c r="M139" s="89" t="n">
        <x:v>4955</x:v>
      </x:c>
      <x:c r="N139" s="89" t="n">
        <x:v>0</x:v>
      </x:c>
      <x:c r="O139" s="89" t="n">
        <x:f>M139+N139</x:f>
        <x:v>4955</x:v>
      </x:c>
      <x:c r="P139" s="88" t="str">
        <x:f>IF(O139&lt;5000,"是","否")</x:f>
        <x:v>是</x:v>
      </x:c>
      <x:c r="Q139" s="90" t="str">
        <x:v>国内经济舱通常含20kg；出票前须按实际票价等级复核</x:v>
      </x:c>
      <x:c r="R139" s="90" t="str">
        <x:v>该去程对应的最低可订返程组合；具体返程航班需打开来源链接确认</x:v>
      </x:c>
      <x:c r="S139" s="91" t="n">
        <x:v>46267.74517780093</x:v>
      </x:c>
      <x:c r="T139" s="92" t="str">
        <x:v>https://www.google.com/travel/flights?hl=zh-CN&amp;curr=CNY&amp;q=Flights%20from%20Shanghai%20to%20Kunming%20from%202026-10-02%20to%202026-10-07</x:v>
      </x:c>
      <x:c r="U139" s="136" t="n">
        <x:v>46302</x:v>
      </x:c>
      <x:c r="V139" s="90" t="str">
        <x:v>12:15</x:v>
      </x:c>
      <x:c r="W139" s="90" t="str">
        <x:v>昆明长水国际机场</x:v>
      </x:c>
      <x:c r="X139" s="137" t="n">
        <x:v>46302</x:v>
      </x:c>
      <x:c r="Y139" s="90" t="str">
        <x:v>15:30</x:v>
      </x:c>
      <x:c r="Z139" s="90" t="str">
        <x:v>上海浦东国际机场</x:v>
      </x:c>
      <x:c r="AA139" s="90" t="str">
        <x:v>南航</x:v>
      </x:c>
      <x:c r="AB139" s="90" t="n">
        <x:v>0</x:v>
      </x:c>
      <x:c r="AC139" s="90" t="str">
        <x:v>3 小时 15 分钟</x:v>
      </x:c>
      <x:c r="AD139" s="138" t="n">
        <x:v>4920</x:v>
      </x:c>
      <x:c r="AE139" s="90" t="str">
        <x:v>当前价格已变化，采用当前最低价返程</x:v>
      </x:c>
      <x:c r="AF139" s="92" t="str">
        <x:v>https://www.google.com/travel/flights/search?tfs=CBwQAhpLEgoyMDI2LTEwLTAyIiAKA1BWRxIKMjAyNi0xMC0wMhoDS01HKgJDWjIEODc1NWoMCAISCC9tLzA2d2pmcg0IAhIJL20vMDFjMDZkGikSCjIwMjYtMTAtMDdqDQgCEgkvbS8wMWMwNmRyDAgCEggvbS8wNndqZkABSAFwAYIBCwj___________8BmAEB&amp;tfu=CmxDalJJT1hWcVIzUnVRa3BOUjAxQlJVWndaR2RDUnkwdExTMHRMWE50ZEhneE5pMXVNa0ZCUVVGQlIzRlpSVXcwUVZka1gxRkJFZ1pEV2pnM05UVWFDZ2k0SmhBQUdnTkRUbGs0SFhEMXV3UT0SAggAIgA&amp;hl=zh-CN&amp;curr=CNY</x:v>
      </x:c>
    </x:row>
    <x:row r="140" ht="42" customHeight="1">
      <x:c r="A140" s="93" t="n">
        <x:f>ROW()-7</x:f>
        <x:v>133</x:v>
      </x:c>
      <x:c r="B140" s="94" t="n">
        <x:v>46297</x:v>
      </x:c>
      <x:c r="C140" s="94" t="n">
        <x:v>46302</x:v>
      </x:c>
      <x:c r="D140" s="95" t="n">
        <x:v>5</x:v>
      </x:c>
      <x:c r="E140" s="96" t="str">
        <x:v>吉祥航空</x:v>
      </x:c>
      <x:c r="F140" s="96" t="str">
        <x:v>20:25</x:v>
      </x:c>
      <x:c r="G140" s="96" t="str">
        <x:v>23:45</x:v>
      </x:c>
      <x:c r="H140" s="96" t="str">
        <x:v>上海浦东国际机场</x:v>
      </x:c>
      <x:c r="I140" s="96" t="str">
        <x:v>昆明长水国际机场</x:v>
      </x:c>
      <x:c r="J140" s="96" t="n">
        <x:v>0</x:v>
      </x:c>
      <x:c r="K140" s="96" t="str">
        <x:v>—</x:v>
      </x:c>
      <x:c r="L140" s="96" t="str">
        <x:v>3 小时 20 分钟</x:v>
      </x:c>
      <x:c r="M140" s="97" t="n">
        <x:v>4966</x:v>
      </x:c>
      <x:c r="N140" s="97" t="n">
        <x:v>0</x:v>
      </x:c>
      <x:c r="O140" s="97" t="n">
        <x:f>M140+N140</x:f>
        <x:v>4966</x:v>
      </x:c>
      <x:c r="P140" s="96" t="str">
        <x:f>IF(O140&lt;5000,"是","否")</x:f>
        <x:v>是</x:v>
      </x:c>
      <x:c r="Q140" s="98" t="str">
        <x:v>国内经济舱通常含20kg；出票前须按实际票价等级复核</x:v>
      </x:c>
      <x:c r="R140" s="98" t="str">
        <x:v>该去程对应的最低可订返程组合；具体返程航班需打开来源链接确认</x:v>
      </x:c>
      <x:c r="S140" s="99" t="n">
        <x:v>46267.74517780093</x:v>
      </x:c>
      <x:c r="T140" s="100" t="str">
        <x:v>https://www.google.com/travel/flights?hl=zh-CN&amp;curr=CNY&amp;q=Flights%20from%20Shanghai%20to%20Kunming%20from%202026-10-02%20to%202026-10-07</x:v>
      </x:c>
      <x:c r="U140" s="139" t="n">
        <x:v>46302</x:v>
      </x:c>
      <x:c r="V140" s="98" t="str">
        <x:v>17:15</x:v>
      </x:c>
      <x:c r="W140" s="98" t="str">
        <x:v>昆明长水国际机场</x:v>
      </x:c>
      <x:c r="X140" s="140" t="n">
        <x:v>46302</x:v>
      </x:c>
      <x:c r="Y140" s="98" t="str">
        <x:v>20:15</x:v>
      </x:c>
      <x:c r="Z140" s="98" t="str">
        <x:v>上海浦东国际机场</x:v>
      </x:c>
      <x:c r="AA140" s="98" t="str">
        <x:v>吉祥航空</x:v>
      </x:c>
      <x:c r="AB140" s="98" t="n">
        <x:v>0</x:v>
      </x:c>
      <x:c r="AC140" s="98" t="str">
        <x:v>3 小时</x:v>
      </x:c>
      <x:c r="AD140" s="141" t="n">
        <x:v>3831</x:v>
      </x:c>
      <x:c r="AE140" s="98" t="str">
        <x:v>当前价格已变化，采用当前最低价返程</x:v>
      </x:c>
      <x:c r="AF140" s="100" t="str">
        <x:v>https://www.google.com/travel/flights/search?tfs=CBwQAhpLEgoyMDI2LTEwLTAyIiAKA1BWRxIKMjAyNi0xMC0wMhoDS01HKgJITzIEMTAxN2oMCAISCC9tLzA2d2pmcg0IAhIJL20vMDFjMDZkGikSCjIwMjYtMTAtMDdqDQgCEgkvbS8wMWMwNmRyDAgCEggvbS8wNndqZkABSAFwAYIBCwj___________8BmAEB&amp;tfu=CmxDalJJTFhrM016ZFNRVGg0ZUZGQlJXNHRkVkZDUnkwdExTMHRMUzF6WldKdU15MXVNa0ZCUVVGQlIzRlpSRUpqUm1OcVJWZEJFZ1pJVHpFd01UY2FDZ2ozSFJBQUdnTkRUbGs0SEhDcXZRTT0SAggAIgA&amp;hl=zh-CN&amp;curr=CNY</x:v>
      </x:c>
    </x:row>
  </x:sheetData>
  <x:mergeCells>
    <x:mergeCell ref="A1:AF1"/>
    <x:mergeCell ref="A2:AF2"/>
    <x:mergeCell ref="A4:AF4"/>
    <x:mergeCell ref="A5:AF5"/>
  </x:mergeCells>
  <x:conditionalFormatting sqref="O8:O140">
    <x:cfRule type="cellIs" dxfId="0" priority="1" operator="lessThanOrEqual">
      <x:formula>3500</x:formula>
    </x:cfRule>
    <x:cfRule type="cellIs" dxfId="1" priority="2" operator="greaterThanOrEqual">
      <x:formula>4500</x:formula>
    </x:cfRule>
  </x:conditionalFormatting>
  <x:conditionalFormatting sqref="AE8:AE140">
    <x:cfRule type="containsText" dxfId="8" priority="3" operator="containsText" text="匹配原始"/>
    <x:cfRule type="containsText" dxfId="9" priority="4" operator="containsText" text="价格已变化"/>
    <x:cfRule type="containsText" dxfId="10" priority="5" operator="containsText" text="无价格"/>
    <x:cfRule type="containsText" dxfId="11" priority="6" operator="containsText" text="待核验"/>
    <x:cfRule type="containsText" dxfId="12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d3fbd6d12bfb4182"/>
    <x:tablePart xmlns:r="http://schemas.openxmlformats.org/officeDocument/2006/relationships" r:id="R916cf3d3b15440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上海 → 昆明（KMG） TOP10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TOP10 从该路线全集合并后按“含20kg估算总价”升序选取；不是按单日最低价抽样。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COUNTA(A8:A17)</x:f>
        <x:v>10</x:v>
      </x:c>
      <x:c r="C3" s="68"/>
      <x:c r="D3" s="68" t="str">
        <x:v>覆盖日期组合</x:v>
      </x:c>
      <x:c r="E3" s="68" t="str">
        <x:v>14/14</x:v>
      </x:c>
      <x:c r="F3" s="68"/>
      <x:c r="G3" s="68" t="str">
        <x:v>最低含行李价</x:v>
      </x:c>
      <x:c r="H3" s="69" t="n">
        <x:f>MIN(O8:O17)</x:f>
        <x:v>1622</x:v>
      </x:c>
      <x:c r="I3" s="68"/>
      <x:c r="J3" s="68" t="str">
        <x:v>最高合格价</x:v>
      </x:c>
      <x:c r="K3" s="69" t="n">
        <x:f>MAX(O8:O17)</x:f>
        <x:v>2084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46299</x:v>
      </x:c>
      <x:c r="C8" s="78" t="n">
        <x:v>46304</x:v>
      </x:c>
      <x:c r="D8" s="79" t="n">
        <x:v>5</x:v>
      </x:c>
      <x:c r="E8" s="80" t="str">
        <x:v>昆航</x:v>
      </x:c>
      <x:c r="F8" s="80" t="str">
        <x:v>13:20</x:v>
      </x:c>
      <x:c r="G8" s="80" t="str">
        <x:v>16:40</x:v>
      </x:c>
      <x:c r="H8" s="80" t="str">
        <x:v>上海浦东国际机场</x:v>
      </x:c>
      <x:c r="I8" s="80" t="str">
        <x:v>昆明长水国际机场</x:v>
      </x:c>
      <x:c r="J8" s="80" t="n">
        <x:v>0</x:v>
      </x:c>
      <x:c r="K8" s="80" t="str">
        <x:v>—</x:v>
      </x:c>
      <x:c r="L8" s="80" t="str">
        <x:v>3 小时 20 分钟</x:v>
      </x:c>
      <x:c r="M8" s="81" t="n">
        <x:v>1622</x:v>
      </x:c>
      <x:c r="N8" s="81" t="n">
        <x:v>0</x:v>
      </x:c>
      <x:c r="O8" s="81" t="n">
        <x:f>M8+N8</x:f>
        <x:v>1622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46267.74517780093</x:v>
      </x:c>
      <x:c r="T8" s="84" t="str">
        <x:v>https://www.google.com/travel/flights?hl=zh-CN&amp;curr=CNY&amp;q=Flights%20from%20Shanghai%20to%20Kunming%20from%202026-10-04%20to%202026-10-09</x:v>
      </x:c>
      <x:c r="U8" s="133" t="n">
        <x:v>46304</x:v>
      </x:c>
      <x:c r="V8" s="82" t="str">
        <x:v>08:40</x:v>
      </x:c>
      <x:c r="W8" s="82" t="str">
        <x:v>昆明长水国际机场</x:v>
      </x:c>
      <x:c r="X8" s="134" t="n">
        <x:v>46304</x:v>
      </x:c>
      <x:c r="Y8" s="82" t="str">
        <x:v>12:00</x:v>
      </x:c>
      <x:c r="Z8" s="82" t="str">
        <x:v>上海浦东国际机场</x:v>
      </x:c>
      <x:c r="AA8" s="82" t="str">
        <x:v>昆航</x:v>
      </x:c>
      <x:c r="AB8" s="82" t="n">
        <x:v>0</x:v>
      </x:c>
      <x:c r="AC8" s="82" t="str">
        <x:v>3 小时 20 分钟</x:v>
      </x:c>
      <x:c r="AD8" s="135" t="n">
        <x:v>1640</x:v>
      </x:c>
      <x:c r="AE8" s="82" t="str">
        <x:v>当前价格已变化，采用当前最低价返程</x:v>
      </x:c>
      <x:c r="AF8" s="84" t="str">
        <x:v>https://www.google.com/travel/flights/search?tfs=CBwQAhpLEgoyMDI2LTEwLTA0IiAKA1BWRxIKMjAyNi0xMC0wNBoDS01HKgJLWTIEODIyMGoMCAISCC9tLzA2d2pmcg0IAhIJL20vMDFjMDZkGikSCjIwMjYtMTAtMDlqDQgCEgkvbS8wMWMwNmRyDAgCEggvbS8wNndqZkABSAFwAYIBCwj___________8BmAEB&amp;tfu=ClhDalJJTFdzelFXRXhNM05FT1ZGQlJWQk9WbWRDUnkwdExTMHRMUzB0TFMxelpXRmtOa0ZCUVVGQlIzRlpRM05OU1VwR1prMUJFZ1pMV1RneU1qQTRIQT09EgIIACIA&amp;hl=zh-CN&amp;curr=CNY</x:v>
      </x:c>
    </x:row>
    <x:row r="9" ht="42" customHeight="1">
      <x:c r="A9" s="85" t="n">
        <x:f>ROW()-7</x:f>
        <x:v>2</x:v>
      </x:c>
      <x:c r="B9" s="86" t="n">
        <x:v>46299</x:v>
      </x:c>
      <x:c r="C9" s="86" t="n">
        <x:v>46304</x:v>
      </x:c>
      <x:c r="D9" s="87" t="n">
        <x:v>5</x:v>
      </x:c>
      <x:c r="E9" s="88" t="str">
        <x:v>昆航</x:v>
      </x:c>
      <x:c r="F9" s="88" t="str">
        <x:v>17:35</x:v>
      </x:c>
      <x:c r="G9" s="88" t="str">
        <x:v>20:50</x:v>
      </x:c>
      <x:c r="H9" s="88" t="str">
        <x:v>上海浦东国际机场</x:v>
      </x:c>
      <x:c r="I9" s="88" t="str">
        <x:v>昆明长水国际机场</x:v>
      </x:c>
      <x:c r="J9" s="88" t="n">
        <x:v>0</x:v>
      </x:c>
      <x:c r="K9" s="88" t="str">
        <x:v>—</x:v>
      </x:c>
      <x:c r="L9" s="88" t="str">
        <x:v>3 小时 15 分钟</x:v>
      </x:c>
      <x:c r="M9" s="89" t="n">
        <x:v>1622</x:v>
      </x:c>
      <x:c r="N9" s="89" t="n">
        <x:v>0</x:v>
      </x:c>
      <x:c r="O9" s="89" t="n">
        <x:f>M9+N9</x:f>
        <x:v>1622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46267.74517780093</x:v>
      </x:c>
      <x:c r="T9" s="92" t="str">
        <x:v>https://www.google.com/travel/flights?hl=zh-CN&amp;curr=CNY&amp;q=Flights%20from%20Shanghai%20to%20Kunming%20from%202026-10-04%20to%202026-10-09</x:v>
      </x:c>
      <x:c r="U9" s="136" t="n">
        <x:v>46304</x:v>
      </x:c>
      <x:c r="V9" s="90" t="str">
        <x:v>08:40</x:v>
      </x:c>
      <x:c r="W9" s="90" t="str">
        <x:v>昆明长水国际机场</x:v>
      </x:c>
      <x:c r="X9" s="137" t="n">
        <x:v>46304</x:v>
      </x:c>
      <x:c r="Y9" s="90" t="str">
        <x:v>12:00</x:v>
      </x:c>
      <x:c r="Z9" s="90" t="str">
        <x:v>上海浦东国际机场</x:v>
      </x:c>
      <x:c r="AA9" s="90" t="str">
        <x:v>昆航</x:v>
      </x:c>
      <x:c r="AB9" s="90" t="n">
        <x:v>0</x:v>
      </x:c>
      <x:c r="AC9" s="90" t="str">
        <x:v>3 小时 20 分钟</x:v>
      </x:c>
      <x:c r="AD9" s="138" t="n">
        <x:v>1640</x:v>
      </x:c>
      <x:c r="AE9" s="90" t="str">
        <x:v>当前价格已变化，采用当前最低价返程</x:v>
      </x:c>
      <x:c r="AF9" s="92" t="str">
        <x:v>https://www.google.com/travel/flights/search?tfs=CBwQAhpLEgoyMDI2LTEwLTA0IiAKA1BWRxIKMjAyNi0xMC0wNBoDS01HKgJLWTIEODIxOGoMCAISCC9tLzA2d2pmcg0IAhIJL20vMDFjMDZkGikSCjIwMjYtMTAtMDlqDQgCEgkvbS8wMWMwNmRyDAgCEggvbS8wNndqZkABSAFwAYIBCwj___________8BmAEB&amp;tfu=CmxDalJJY2pKUlRVOUphVk5QUmxsQlJITlpSWGRDUnkwdExTMHRMUzB0TFMxemJXRXhNMEZCUVVGQlIzRlpRM05OVEZabWNFRkJFZ1pMV1RneU1UZ2FDZ2pvREJBQUdnTkRUbGs0SEhEU3ZnRT0SAggAIgA&amp;hl=zh-CN&amp;curr=CNY</x:v>
      </x:c>
    </x:row>
    <x:row r="10" ht="42" customHeight="1">
      <x:c r="A10" s="85" t="n">
        <x:f>ROW()-7</x:f>
        <x:v>3</x:v>
      </x:c>
      <x:c r="B10" s="86" t="n">
        <x:v>46299</x:v>
      </x:c>
      <x:c r="C10" s="86" t="n">
        <x:v>46304</x:v>
      </x:c>
      <x:c r="D10" s="87" t="n">
        <x:v>5</x:v>
      </x:c>
      <x:c r="E10" s="88" t="str">
        <x:v>昆航</x:v>
      </x:c>
      <x:c r="F10" s="88" t="str">
        <x:v>19:15</x:v>
      </x:c>
      <x:c r="G10" s="88" t="str">
        <x:v>22:50</x:v>
      </x:c>
      <x:c r="H10" s="88" t="str">
        <x:v>上海浦东国际机场</x:v>
      </x:c>
      <x:c r="I10" s="88" t="str">
        <x:v>昆明长水国际机场</x:v>
      </x:c>
      <x:c r="J10" s="88" t="n">
        <x:v>0</x:v>
      </x:c>
      <x:c r="K10" s="88" t="str">
        <x:v>—</x:v>
      </x:c>
      <x:c r="L10" s="88" t="str">
        <x:v>3 小时 35 分钟</x:v>
      </x:c>
      <x:c r="M10" s="89" t="n">
        <x:v>1622</x:v>
      </x:c>
      <x:c r="N10" s="89" t="n">
        <x:v>0</x:v>
      </x:c>
      <x:c r="O10" s="89" t="n">
        <x:f>M10+N10</x:f>
        <x:v>1622</x:v>
      </x:c>
      <x:c r="P10" s="88" t="str">
        <x:f>IF(O10&lt;5000,"是","否")</x:f>
        <x:v>是</x:v>
      </x:c>
      <x:c r="Q10" s="90" t="str">
        <x:v>国内经济舱通常含20kg；出票前须按实际票价等级复核</x:v>
      </x:c>
      <x:c r="R10" s="90" t="str">
        <x:v>该去程对应的最低可订返程组合；具体返程航班需打开来源链接确认</x:v>
      </x:c>
      <x:c r="S10" s="91" t="n">
        <x:v>46267.74517780093</x:v>
      </x:c>
      <x:c r="T10" s="92" t="str">
        <x:v>https://www.google.com/travel/flights?hl=zh-CN&amp;curr=CNY&amp;q=Flights%20from%20Shanghai%20to%20Kunming%20from%202026-10-04%20to%202026-10-09</x:v>
      </x:c>
      <x:c r="U10" s="136" t="n">
        <x:v>46304</x:v>
      </x:c>
      <x:c r="V10" s="90" t="str">
        <x:v>08:40</x:v>
      </x:c>
      <x:c r="W10" s="90" t="str">
        <x:v>昆明长水国际机场</x:v>
      </x:c>
      <x:c r="X10" s="137" t="n">
        <x:v>46304</x:v>
      </x:c>
      <x:c r="Y10" s="90" t="str">
        <x:v>12:00</x:v>
      </x:c>
      <x:c r="Z10" s="90" t="str">
        <x:v>上海浦东国际机场</x:v>
      </x:c>
      <x:c r="AA10" s="90" t="str">
        <x:v>昆航</x:v>
      </x:c>
      <x:c r="AB10" s="90" t="n">
        <x:v>0</x:v>
      </x:c>
      <x:c r="AC10" s="90" t="str">
        <x:v>3 小时 20 分钟</x:v>
      </x:c>
      <x:c r="AD10" s="138"/>
      <x:c r="AE10" s="90" t="str">
        <x:v>当前返程列表无价格，采用排序第一条</x:v>
      </x:c>
      <x:c r="AF10" s="92" t="str">
        <x:v>https://www.google.com/travel/flights/search?tfs=CBwQAhpLEgoyMDI2LTEwLTA0IiAKA1BWRxIKMjAyNi0xMC0wNBoDS01HKgJLWTIEODIyMmoMCAISCC9tLzA2d2pmcg0IAhIJL20vMDFjMDZkGikSCjIwMjYtMTAtMDlqDQgCEgkvbS8wMWMwNmRyDAgCEggvbS8wNndqZkABSAFwAYIBCwj___________8BmAEB&amp;tfu=ClhDalJJV0Raek9XaExUWEpYVGtsQlJXcDBibWRDUnkwdExTMHRMUzF6WlhSdE9DMXVNVUZCUVVGQlIzRlpRM05KVDJjNWNrdEJFZ1pMV1RneU1qSTRIQT09EgIIACIA&amp;hl=zh-CN&amp;curr=CNY</x:v>
      </x:c>
    </x:row>
    <x:row r="11" ht="42" customHeight="1">
      <x:c r="A11" s="85" t="n">
        <x:f>ROW()-7</x:f>
        <x:v>4</x:v>
      </x:c>
      <x:c r="B11" s="86" t="n">
        <x:v>46300</x:v>
      </x:c>
      <x:c r="C11" s="86" t="n">
        <x:v>46304</x:v>
      </x:c>
      <x:c r="D11" s="87" t="n">
        <x:v>4</x:v>
      </x:c>
      <x:c r="E11" s="88" t="str">
        <x:v>春航</x:v>
      </x:c>
      <x:c r="F11" s="88" t="str">
        <x:v>10:45</x:v>
      </x:c>
      <x:c r="G11" s="88" t="str">
        <x:v>16:00</x:v>
      </x:c>
      <x:c r="H11" s="88" t="str">
        <x:v>上海浦东国际机场</x:v>
      </x:c>
      <x:c r="I11" s="88" t="str">
        <x:v>昆明长水国际机场</x:v>
      </x:c>
      <x:c r="J11" s="88" t="n">
        <x:v>0</x:v>
      </x:c>
      <x:c r="K11" s="88" t="str">
        <x:v>—</x:v>
      </x:c>
      <x:c r="L11" s="88" t="str">
        <x:v>5 小时 15 分钟</x:v>
      </x:c>
      <x:c r="M11" s="89" t="n">
        <x:v>1460</x:v>
      </x:c>
      <x:c r="N11" s="89" t="n">
        <x:v>350</x:v>
      </x:c>
      <x:c r="O11" s="89" t="n">
        <x:f>M11+N11</x:f>
        <x:v>1810</x:v>
      </x:c>
      <x:c r="P11" s="88" t="str">
        <x:f>IF(O11&lt;5000,"是","否")</x:f>
        <x:v>是</x:v>
      </x:c>
      <x:c r="Q11" s="90" t="str">
        <x:v>春秋低价票可能不含托运；按国内往返20kg保守预留¥350</x:v>
      </x:c>
      <x:c r="R11" s="90" t="str">
        <x:v>该去程对应的最低可订返程组合；具体返程航班需打开来源链接确认</x:v>
      </x:c>
      <x:c r="S11" s="91" t="n">
        <x:v>46267.74517780093</x:v>
      </x:c>
      <x:c r="T11" s="92" t="str">
        <x:v>https://www.google.com/travel/flights?hl=zh-CN&amp;curr=CNY&amp;q=Flights%20from%20Shanghai%20to%20Kunming%20from%202026-10-05%20to%202026-10-09</x:v>
      </x:c>
      <x:c r="U11" s="136" t="n">
        <x:v>46304</x:v>
      </x:c>
      <x:c r="V11" s="90" t="str">
        <x:v>17:05</x:v>
      </x:c>
      <x:c r="W11" s="90" t="str">
        <x:v>昆明长水国际机场</x:v>
      </x:c>
      <x:c r="X11" s="137" t="n">
        <x:v>46304</x:v>
      </x:c>
      <x:c r="Y11" s="90" t="str">
        <x:v>21:45</x:v>
      </x:c>
      <x:c r="Z11" s="90" t="str">
        <x:v>上海浦东国际机场</x:v>
      </x:c>
      <x:c r="AA11" s="90" t="str">
        <x:v>春航</x:v>
      </x:c>
      <x:c r="AB11" s="90" t="n">
        <x:v>0</x:v>
      </x:c>
      <x:c r="AC11" s="90" t="str">
        <x:v>4 小时 40 分钟</x:v>
      </x:c>
      <x:c r="AD11" s="138" t="n">
        <x:v>1460</x:v>
      </x:c>
      <x:c r="AE11" s="90" t="str">
        <x:v>匹配原始往返起价</x:v>
      </x:c>
      <x:c r="AF11" s="92" t="str">
        <x:v>https://www.google.com/travel/flights/search?tfs=CBwQAhpLEgoyMDI2LTEwLTA1IiAKA1BWRxIKMjAyNi0xMC0wNRoDS01HKgI5QzIENjQ1NWoMCAISCC9tLzA2d2pmcg0IAhIJL20vMDFjMDZkGikSCjIwMjYtMTAtMDlqDQgCEgkvbS8wMWMwNmRyDAgCEggvbS8wNndqZkABSAFwAYIBCwj___________8BmAEB&amp;tfu=CmxDalJJYlhCeE56bGlkak5LY1dkQlJERm9URkZDUnkwdExTMHRMUzF6YlhWNE9DMXVNa0ZCUVVGQlIzRlpRM05KVGpGc1VIZEJFZ1k1UXpZME5UVWFDZ2kwQ3hBQUdnTkRUbGs0SEhEYnFRRT0SAggAIgA&amp;hl=zh-CN&amp;curr=CNY</x:v>
      </x:c>
    </x:row>
    <x:row r="12" ht="42" customHeight="1">
      <x:c r="A12" s="85" t="n">
        <x:f>ROW()-7</x:f>
        <x:v>5</x:v>
      </x:c>
      <x:c r="B12" s="86" t="n">
        <x:v>46299</x:v>
      </x:c>
      <x:c r="C12" s="86" t="n">
        <x:v>46304</x:v>
      </x:c>
      <x:c r="D12" s="87" t="n">
        <x:v>5</x:v>
      </x:c>
      <x:c r="E12" s="88" t="str">
        <x:v>春航</x:v>
      </x:c>
      <x:c r="F12" s="88" t="str">
        <x:v>13:25</x:v>
      </x:c>
      <x:c r="G12" s="88" t="str">
        <x:v>18:15</x:v>
      </x:c>
      <x:c r="H12" s="88" t="str">
        <x:v>上海虹桥国际机场</x:v>
      </x:c>
      <x:c r="I12" s="88" t="str">
        <x:v>昆明长水国际机场</x:v>
      </x:c>
      <x:c r="J12" s="88" t="n">
        <x:v>0</x:v>
      </x:c>
      <x:c r="K12" s="88" t="str">
        <x:v>—</x:v>
      </x:c>
      <x:c r="L12" s="88" t="str">
        <x:v>4 小时 50 分钟</x:v>
      </x:c>
      <x:c r="M12" s="89" t="n">
        <x:v>1550</x:v>
      </x:c>
      <x:c r="N12" s="89" t="n">
        <x:v>350</x:v>
      </x:c>
      <x:c r="O12" s="89" t="n">
        <x:f>M12+N12</x:f>
        <x:v>1900</x:v>
      </x:c>
      <x:c r="P12" s="88" t="str">
        <x:f>IF(O12&lt;5000,"是","否")</x:f>
        <x:v>是</x:v>
      </x:c>
      <x:c r="Q12" s="90" t="str">
        <x:v>春秋低价票可能不含托运；按国内往返20kg保守预留¥350</x:v>
      </x:c>
      <x:c r="R12" s="90" t="str">
        <x:v>该去程对应的最低可订返程组合；具体返程航班需打开来源链接确认</x:v>
      </x:c>
      <x:c r="S12" s="91" t="n">
        <x:v>46267.74517780093</x:v>
      </x:c>
      <x:c r="T12" s="92" t="str">
        <x:v>https://www.google.com/travel/flights?hl=zh-CN&amp;curr=CNY&amp;q=Flights%20from%20Shanghai%20to%20Kunming%20from%202026-10-04%20to%202026-10-09</x:v>
      </x:c>
      <x:c r="U12" s="136" t="n">
        <x:v>46304</x:v>
      </x:c>
      <x:c r="V12" s="90" t="str">
        <x:v>19:20</x:v>
      </x:c>
      <x:c r="W12" s="90" t="str">
        <x:v>昆明长水国际机场</x:v>
      </x:c>
      <x:c r="X12" s="137" t="n">
        <x:v>46304</x:v>
      </x:c>
      <x:c r="Y12" s="90" t="str">
        <x:v>23:55</x:v>
      </x:c>
      <x:c r="Z12" s="90" t="str">
        <x:v>上海虹桥国际机场</x:v>
      </x:c>
      <x:c r="AA12" s="90" t="str">
        <x:v>春航</x:v>
      </x:c>
      <x:c r="AB12" s="90" t="n">
        <x:v>0</x:v>
      </x:c>
      <x:c r="AC12" s="90" t="str">
        <x:v>4 小时 35 分钟</x:v>
      </x:c>
      <x:c r="AD12" s="138" t="n">
        <x:v>1550</x:v>
      </x:c>
      <x:c r="AE12" s="90" t="str">
        <x:v>匹配原始往返起价</x:v>
      </x:c>
      <x:c r="AF12" s="92" t="str">
        <x:v>https://www.google.com/travel/flights/search?tfs=CBwQAhpLEgoyMDI2LTEwLTA0IiAKA1NIQRIKMjAyNi0xMC0wNBoDS01HKgI5QzIEODgyOWoMCAISCC9tLzA2d2pmcg0IAhIJL20vMDFjMDZkGikSCjIwMjYtMTAtMDlqDQgCEgkvbS8wMWMwNmRyDAgCEggvbS8wNndqZkABSAFwAYIBCwj___________8BmAEB&amp;tfu=CmxDalJJUlROeFMwUnNXWFJRZEUxQlJWTjNiR2RDUnkwdExTMHRMWE50Y0hReE5DMXVNVUZCUVVGQlIzRlpRM056VDBOVGNWZEJFZ1k1UXpnNE1qa2FDZ2lPREJBQUdnTkRUbGs0SEhDWHRBRT0SAggAIgA&amp;hl=zh-CN&amp;curr=CNY</x:v>
      </x:c>
    </x:row>
    <x:row r="13" ht="42" customHeight="1">
      <x:c r="A13" s="85" t="n">
        <x:f>ROW()-7</x:f>
        <x:v>6</x:v>
      </x:c>
      <x:c r="B13" s="86" t="n">
        <x:v>46300</x:v>
      </x:c>
      <x:c r="C13" s="86" t="n">
        <x:v>46304</x:v>
      </x:c>
      <x:c r="D13" s="87" t="n">
        <x:v>4</x:v>
      </x:c>
      <x:c r="E13" s="88" t="str">
        <x:v>春航</x:v>
      </x:c>
      <x:c r="F13" s="88" t="str">
        <x:v>13:25</x:v>
      </x:c>
      <x:c r="G13" s="88" t="str">
        <x:v>18:15</x:v>
      </x:c>
      <x:c r="H13" s="88" t="str">
        <x:v>上海虹桥国际机场</x:v>
      </x:c>
      <x:c r="I13" s="88" t="str">
        <x:v>昆明长水国际机场</x:v>
      </x:c>
      <x:c r="J13" s="88" t="n">
        <x:v>0</x:v>
      </x:c>
      <x:c r="K13" s="88" t="str">
        <x:v>—</x:v>
      </x:c>
      <x:c r="L13" s="88" t="str">
        <x:v>4 小时 50 分钟</x:v>
      </x:c>
      <x:c r="M13" s="89" t="n">
        <x:v>1550</x:v>
      </x:c>
      <x:c r="N13" s="89" t="n">
        <x:v>350</x:v>
      </x:c>
      <x:c r="O13" s="89" t="n">
        <x:f>M13+N13</x:f>
        <x:v>1900</x:v>
      </x:c>
      <x:c r="P13" s="88" t="str">
        <x:f>IF(O13&lt;5000,"是","否")</x:f>
        <x:v>是</x:v>
      </x:c>
      <x:c r="Q13" s="90" t="str">
        <x:v>春秋低价票可能不含托运；按国内往返20kg保守预留¥350</x:v>
      </x:c>
      <x:c r="R13" s="90" t="str">
        <x:v>该去程对应的最低可订返程组合；具体返程航班需打开来源链接确认</x:v>
      </x:c>
      <x:c r="S13" s="91" t="n">
        <x:v>46267.74517780093</x:v>
      </x:c>
      <x:c r="T13" s="92" t="str">
        <x:v>https://www.google.com/travel/flights?hl=zh-CN&amp;curr=CNY&amp;q=Flights%20from%20Shanghai%20to%20Kunming%20from%202026-10-05%20to%202026-10-09</x:v>
      </x:c>
      <x:c r="U13" s="136" t="n">
        <x:v>46304</x:v>
      </x:c>
      <x:c r="V13" s="90" t="str">
        <x:v>19:20</x:v>
      </x:c>
      <x:c r="W13" s="90" t="str">
        <x:v>昆明长水国际机场</x:v>
      </x:c>
      <x:c r="X13" s="137" t="n">
        <x:v>46304</x:v>
      </x:c>
      <x:c r="Y13" s="90" t="str">
        <x:v>23:55</x:v>
      </x:c>
      <x:c r="Z13" s="90" t="str">
        <x:v>上海虹桥国际机场</x:v>
      </x:c>
      <x:c r="AA13" s="90" t="str">
        <x:v>春航</x:v>
      </x:c>
      <x:c r="AB13" s="90" t="n">
        <x:v>0</x:v>
      </x:c>
      <x:c r="AC13" s="90" t="str">
        <x:v>4 小时 35 分钟</x:v>
      </x:c>
      <x:c r="AD13" s="138" t="n">
        <x:v>1550</x:v>
      </x:c>
      <x:c r="AE13" s="90" t="str">
        <x:v>匹配原始往返起价</x:v>
      </x:c>
      <x:c r="AF13" s="92" t="str">
        <x:v>https://www.google.com/travel/flights/search?tfs=CBwQAhpLEgoyMDI2LTEwLTA1IiAKA1NIQRIKMjAyNi0xMC0wNRoDS01HKgI5QzIEODgyOWoMCAISCC9tLzA2d2pmcg0IAhIJL20vMDFjMDZkGikSCjIwMjYtMTAtMDlqDQgCEgkvbS8wMWMwNmRyDAgCEggvbS8wNndqZkABSAFwAYIBCwj___________8BmAEB&amp;tfu=CmxDalJJTFdzelFXRXhNM05FT1ZGQlJWQlJWR2RDUnkwdExTMHRMUzB0TFMxelpXRmtOa0ZCUVVGQlIzRlpRM04zUVZFMFVYVkJFZ1k1UXpnNE1qa2FDZ2lPREJBQUdnTkRUbGs0SEhDWHRBRT0SAggAIgA&amp;hl=zh-CN&amp;curr=CNY</x:v>
      </x:c>
    </x:row>
    <x:row r="14" ht="42" customHeight="1">
      <x:c r="A14" s="85" t="n">
        <x:f>ROW()-7</x:f>
        <x:v>7</x:v>
      </x:c>
      <x:c r="B14" s="86" t="n">
        <x:v>46300</x:v>
      </x:c>
      <x:c r="C14" s="86" t="n">
        <x:v>46304</x:v>
      </x:c>
      <x:c r="D14" s="87" t="n">
        <x:v>4</x:v>
      </x:c>
      <x:c r="E14" s="88" t="str">
        <x:v>春航</x:v>
      </x:c>
      <x:c r="F14" s="88" t="str">
        <x:v>07:45</x:v>
      </x:c>
      <x:c r="G14" s="88" t="str">
        <x:v>10:55</x:v>
      </x:c>
      <x:c r="H14" s="88" t="str">
        <x:v>上海虹桥国际机场</x:v>
      </x:c>
      <x:c r="I14" s="88" t="str">
        <x:v>昆明长水国际机场</x:v>
      </x:c>
      <x:c r="J14" s="88" t="n">
        <x:v>0</x:v>
      </x:c>
      <x:c r="K14" s="88" t="str">
        <x:v>—</x:v>
      </x:c>
      <x:c r="L14" s="88" t="str">
        <x:v>3 小时 10 分钟</x:v>
      </x:c>
      <x:c r="M14" s="89" t="n">
        <x:v>1560</x:v>
      </x:c>
      <x:c r="N14" s="89" t="n">
        <x:v>350</x:v>
      </x:c>
      <x:c r="O14" s="89" t="n">
        <x:f>M14+N14</x:f>
        <x:v>1910</x:v>
      </x:c>
      <x:c r="P14" s="88" t="str">
        <x:f>IF(O14&lt;5000,"是","否")</x:f>
        <x:v>是</x:v>
      </x:c>
      <x:c r="Q14" s="90" t="str">
        <x:v>春秋低价票可能不含托运；按国内往返20kg保守预留¥350</x:v>
      </x:c>
      <x:c r="R14" s="90" t="str">
        <x:v>该去程对应的最低可订返程组合；具体返程航班需打开来源链接确认</x:v>
      </x:c>
      <x:c r="S14" s="91" t="n">
        <x:v>46267.74517780093</x:v>
      </x:c>
      <x:c r="T14" s="92" t="str">
        <x:v>https://www.google.com/travel/flights?hl=zh-CN&amp;curr=CNY&amp;q=Flights%20from%20Shanghai%20to%20Kunming%20from%202026-10-05%20to%202026-10-09</x:v>
      </x:c>
      <x:c r="U14" s="136" t="n">
        <x:v>46304</x:v>
      </x:c>
      <x:c r="V14" s="90" t="str">
        <x:v>19:20</x:v>
      </x:c>
      <x:c r="W14" s="90" t="str">
        <x:v>昆明长水国际机场</x:v>
      </x:c>
      <x:c r="X14" s="137" t="n">
        <x:v>46304</x:v>
      </x:c>
      <x:c r="Y14" s="90" t="str">
        <x:v>23:55</x:v>
      </x:c>
      <x:c r="Z14" s="90" t="str">
        <x:v>上海虹桥国际机场</x:v>
      </x:c>
      <x:c r="AA14" s="90" t="str">
        <x:v>春航</x:v>
      </x:c>
      <x:c r="AB14" s="90" t="n">
        <x:v>0</x:v>
      </x:c>
      <x:c r="AC14" s="90" t="str">
        <x:v>4 小时 35 分钟</x:v>
      </x:c>
      <x:c r="AD14" s="138" t="n">
        <x:v>1560</x:v>
      </x:c>
      <x:c r="AE14" s="90" t="str">
        <x:v>匹配原始往返起价</x:v>
      </x:c>
      <x:c r="AF14" s="92" t="str">
        <x:v>https://www.google.com/travel/flights/search?tfs=CBwQAhpLEgoyMDI2LTEwLTA1IiAKA1NIQRIKMjAyNi0xMC0wNRoDS01HKgI5QzIEODk1M2oMCAISCC9tLzA2d2pmcg0IAhIJL20vMDFjMDZkGikSCjIwMjYtMTAtMDlqDQgCEgkvbS8wMWMwNmRyDAgCEggvbS8wNndqZkABSAFwAYIBCwj___________8BmAEB&amp;tfu=CmxDalJJY2pKUlRVOUphVk5QUmxsQlJITmhhRUZDUnkwdExTMHRMUzB0TFMxemJXRXhNMEZCUVVGQlIzRlpRM04zU0dacWNHOUJFZ1k1UXpnNU5UTWFDZ2lZREJBQUdnTkRUbGs0SEhDcnRRRT0SAggAIgMSATA&amp;hl=zh-CN&amp;curr=CNY</x:v>
      </x:c>
    </x:row>
    <x:row r="15" ht="42" customHeight="1">
      <x:c r="A15" s="85" t="n">
        <x:f>ROW()-7</x:f>
        <x:v>8</x:v>
      </x:c>
      <x:c r="B15" s="86" t="n">
        <x:v>46299</x:v>
      </x:c>
      <x:c r="C15" s="86" t="n">
        <x:v>46304</x:v>
      </x:c>
      <x:c r="D15" s="87" t="n">
        <x:v>5</x:v>
      </x:c>
      <x:c r="E15" s="88" t="str">
        <x:v>春航</x:v>
      </x:c>
      <x:c r="F15" s="88" t="str">
        <x:v>07:55</x:v>
      </x:c>
      <x:c r="G15" s="88" t="str">
        <x:v>11:20</x:v>
      </x:c>
      <x:c r="H15" s="88" t="str">
        <x:v>上海虹桥国际机场</x:v>
      </x:c>
      <x:c r="I15" s="88" t="str">
        <x:v>昆明长水国际机场</x:v>
      </x:c>
      <x:c r="J15" s="88" t="n">
        <x:v>0</x:v>
      </x:c>
      <x:c r="K15" s="88" t="str">
        <x:v>—</x:v>
      </x:c>
      <x:c r="L15" s="88" t="str">
        <x:v>3 小时 25 分钟</x:v>
      </x:c>
      <x:c r="M15" s="89" t="n">
        <x:v>1570</x:v>
      </x:c>
      <x:c r="N15" s="89" t="n">
        <x:v>350</x:v>
      </x:c>
      <x:c r="O15" s="89" t="n">
        <x:f>M15+N15</x:f>
        <x:v>1920</x:v>
      </x:c>
      <x:c r="P15" s="88" t="str">
        <x:f>IF(O15&lt;5000,"是","否")</x:f>
        <x:v>是</x:v>
      </x:c>
      <x:c r="Q15" s="90" t="str">
        <x:v>春秋低价票可能不含托运；按国内往返20kg保守预留¥350</x:v>
      </x:c>
      <x:c r="R15" s="90" t="str">
        <x:v>该去程对应的最低可订返程组合；具体返程航班需打开来源链接确认</x:v>
      </x:c>
      <x:c r="S15" s="91" t="n">
        <x:v>46267.74517780093</x:v>
      </x:c>
      <x:c r="T15" s="92" t="str">
        <x:v>https://www.google.com/travel/flights?hl=zh-CN&amp;curr=CNY&amp;q=Flights%20from%20Shanghai%20to%20Kunming%20from%202026-10-04%20to%202026-10-09</x:v>
      </x:c>
      <x:c r="U15" s="136" t="n">
        <x:v>46304</x:v>
      </x:c>
      <x:c r="V15" s="90" t="str">
        <x:v>19:20</x:v>
      </x:c>
      <x:c r="W15" s="90" t="str">
        <x:v>昆明长水国际机场</x:v>
      </x:c>
      <x:c r="X15" s="137" t="n">
        <x:v>46304</x:v>
      </x:c>
      <x:c r="Y15" s="90" t="str">
        <x:v>23:55</x:v>
      </x:c>
      <x:c r="Z15" s="90" t="str">
        <x:v>上海虹桥国际机场</x:v>
      </x:c>
      <x:c r="AA15" s="90" t="str">
        <x:v>春航</x:v>
      </x:c>
      <x:c r="AB15" s="90" t="n">
        <x:v>0</x:v>
      </x:c>
      <x:c r="AC15" s="90" t="str">
        <x:v>4 小时 35 分钟</x:v>
      </x:c>
      <x:c r="AD15" s="138" t="n">
        <x:v>1570</x:v>
      </x:c>
      <x:c r="AE15" s="90" t="str">
        <x:v>匹配原始往返起价</x:v>
      </x:c>
      <x:c r="AF15" s="92" t="str">
        <x:v>https://www.google.com/travel/flights/search?tfs=CBwQAhpLEgoyMDI2LTEwLTA0IiAKA1NIQRIKMjAyNi0xMC0wNBoDS01HKgI5QzIEODk1M2oMCAISCC9tLzA2d2pmcg0IAhIJL20vMDFjMDZkGikSCjIwMjYtMTAtMDlqDQgCEgkvbS8wMWMwNmRyDAgCEggvbS8wNndqZkABSAFwAYIBCwj___________8BmAEB&amp;tfu=CmxDalJJZEU5VWJEQndRbVpTWVhkQlIxbDZSbmRDUnkwdExTMHRMUzB0YzJWaVozSXpNMEZCUVVGQlIzRlpRM056VEdWRFFuZEJFZ1k1UXpnNU5UTWFDZ2lpREJBQUdnTkRUbGs0SEhEQXRnRT0SAggAIgMSATA&amp;hl=zh-CN&amp;curr=CNY</x:v>
      </x:c>
    </x:row>
    <x:row r="16" ht="42" customHeight="1">
      <x:c r="A16" s="85" t="n">
        <x:f>ROW()-7</x:f>
        <x:v>9</x:v>
      </x:c>
      <x:c r="B16" s="86" t="n">
        <x:v>46298</x:v>
      </x:c>
      <x:c r="C16" s="86" t="n">
        <x:v>46304</x:v>
      </x:c>
      <x:c r="D16" s="87" t="n">
        <x:v>6</x:v>
      </x:c>
      <x:c r="E16" s="88" t="str">
        <x:v>春航</x:v>
      </x:c>
      <x:c r="F16" s="88" t="str">
        <x:v>13:25</x:v>
      </x:c>
      <x:c r="G16" s="88" t="str">
        <x:v>18:15</x:v>
      </x:c>
      <x:c r="H16" s="88" t="str">
        <x:v>上海虹桥国际机场</x:v>
      </x:c>
      <x:c r="I16" s="88" t="str">
        <x:v>昆明长水国际机场</x:v>
      </x:c>
      <x:c r="J16" s="88" t="n">
        <x:v>0</x:v>
      </x:c>
      <x:c r="K16" s="88" t="str">
        <x:v>—</x:v>
      </x:c>
      <x:c r="L16" s="88" t="str">
        <x:v>4 小时 50 分钟</x:v>
      </x:c>
      <x:c r="M16" s="89" t="n">
        <x:v>1700</x:v>
      </x:c>
      <x:c r="N16" s="89" t="n">
        <x:v>350</x:v>
      </x:c>
      <x:c r="O16" s="89" t="n">
        <x:f>M16+N16</x:f>
        <x:v>2050</x:v>
      </x:c>
      <x:c r="P16" s="88" t="str">
        <x:f>IF(O16&lt;5000,"是","否")</x:f>
        <x:v>是</x:v>
      </x:c>
      <x:c r="Q16" s="90" t="str">
        <x:v>春秋低价票可能不含托运；按国内往返20kg保守预留¥350</x:v>
      </x:c>
      <x:c r="R16" s="90" t="str">
        <x:v>该去程对应的最低可订返程组合；具体返程航班需打开来源链接确认</x:v>
      </x:c>
      <x:c r="S16" s="91" t="n">
        <x:v>46267.74517780093</x:v>
      </x:c>
      <x:c r="T16" s="92" t="str">
        <x:v>https://www.google.com/travel/flights?hl=zh-CN&amp;curr=CNY&amp;q=Flights%20from%20Shanghai%20to%20Kunming%20from%202026-10-03%20to%202026-10-09</x:v>
      </x:c>
      <x:c r="U16" s="136" t="n">
        <x:v>46304</x:v>
      </x:c>
      <x:c r="V16" s="90" t="str">
        <x:v>19:20</x:v>
      </x:c>
      <x:c r="W16" s="90" t="str">
        <x:v>昆明长水国际机场</x:v>
      </x:c>
      <x:c r="X16" s="137" t="n">
        <x:v>46304</x:v>
      </x:c>
      <x:c r="Y16" s="90" t="str">
        <x:v>23:55</x:v>
      </x:c>
      <x:c r="Z16" s="90" t="str">
        <x:v>上海虹桥国际机场</x:v>
      </x:c>
      <x:c r="AA16" s="90" t="str">
        <x:v>春航</x:v>
      </x:c>
      <x:c r="AB16" s="90" t="n">
        <x:v>0</x:v>
      </x:c>
      <x:c r="AC16" s="90" t="str">
        <x:v>4 小时 35 分钟</x:v>
      </x:c>
      <x:c r="AD16" s="138" t="n">
        <x:v>1700</x:v>
      </x:c>
      <x:c r="AE16" s="90" t="str">
        <x:v>匹配原始往返起价</x:v>
      </x:c>
      <x:c r="AF16" s="92" t="str">
        <x:v>https://www.google.com/travel/flights/search?tfs=CBwQAhpLEgoyMDI2LTEwLTAzIiAKA1NIQRIKMjAyNi0xMC0wMxoDS01HKgI5QzIEODgyOWoMCAISCC9tLzA2d2pmcg0IAhIJL20vMDFjMDZkGikSCjIwMjYtMTAtMDlqDQgCEgkvbS8wMWMwNmRyDAgCEggvbS8wNndqZkABSAFwAYIBCwj___________8BmAEB&amp;tfu=CmxDalJJVEVvMGRVZFVjWE5mVEZsQlJXdEhWbEZDUnkwdExTMHRMUzB0YzJWaVpXRTBNVUZCUVVGQlIzRlpRM1JSUWxZd1JVMUJFZ1k1UXpnNE1qa2FDZ2lrRFJBQUdnTkRUbGs0SEhET3hRRT0SAggAIgA&amp;hl=zh-CN&amp;curr=CNY</x:v>
      </x:c>
    </x:row>
    <x:row r="17" ht="42" customHeight="1">
      <x:c r="A17" s="93" t="n">
        <x:f>ROW()-7</x:f>
        <x:v>10</x:v>
      </x:c>
      <x:c r="B17" s="94" t="n">
        <x:v>46300</x:v>
      </x:c>
      <x:c r="C17" s="94" t="n">
        <x:v>46304</x:v>
      </x:c>
      <x:c r="D17" s="95" t="n">
        <x:v>4</x:v>
      </x:c>
      <x:c r="E17" s="96" t="str">
        <x:v>国航</x:v>
      </x:c>
      <x:c r="F17" s="96" t="str">
        <x:v>14:55</x:v>
      </x:c>
      <x:c r="G17" s="96" t="str">
        <x:v>18:35</x:v>
      </x:c>
      <x:c r="H17" s="96" t="str">
        <x:v>上海浦东国际机场</x:v>
      </x:c>
      <x:c r="I17" s="96" t="str">
        <x:v>昆明长水国际机场</x:v>
      </x:c>
      <x:c r="J17" s="96" t="n">
        <x:v>0</x:v>
      </x:c>
      <x:c r="K17" s="96" t="str">
        <x:v>—</x:v>
      </x:c>
      <x:c r="L17" s="96" t="str">
        <x:v>3 小时 40 分钟</x:v>
      </x:c>
      <x:c r="M17" s="97" t="n">
        <x:v>2084</x:v>
      </x:c>
      <x:c r="N17" s="97" t="n">
        <x:v>0</x:v>
      </x:c>
      <x:c r="O17" s="97" t="n">
        <x:f>M17+N17</x:f>
        <x:v>2084</x:v>
      </x:c>
      <x:c r="P17" s="96" t="str">
        <x:f>IF(O17&lt;5000,"是","否")</x:f>
        <x:v>是</x:v>
      </x:c>
      <x:c r="Q17" s="98" t="str">
        <x:v>国内经济舱通常含20kg；出票前须按实际票价等级复核</x:v>
      </x:c>
      <x:c r="R17" s="98" t="str">
        <x:v>该去程对应的最低可订返程组合；具体返程航班需打开来源链接确认</x:v>
      </x:c>
      <x:c r="S17" s="99" t="n">
        <x:v>46267.74517780093</x:v>
      </x:c>
      <x:c r="T17" s="100" t="str">
        <x:v>https://www.google.com/travel/flights?hl=zh-CN&amp;curr=CNY&amp;q=Flights%20from%20Shanghai%20to%20Kunming%20from%202026-10-05%20to%202026-10-09</x:v>
      </x:c>
      <x:c r="U17" s="139" t="n">
        <x:v>46304</x:v>
      </x:c>
      <x:c r="V17" s="98" t="str">
        <x:v>08:40</x:v>
      </x:c>
      <x:c r="W17" s="98" t="str">
        <x:v>昆明长水国际机场</x:v>
      </x:c>
      <x:c r="X17" s="140" t="n">
        <x:v>46304</x:v>
      </x:c>
      <x:c r="Y17" s="98" t="str">
        <x:v>12:00</x:v>
      </x:c>
      <x:c r="Z17" s="98" t="str">
        <x:v>上海浦东国际机场</x:v>
      </x:c>
      <x:c r="AA17" s="98" t="str">
        <x:v>国航</x:v>
      </x:c>
      <x:c r="AB17" s="98" t="n">
        <x:v>0</x:v>
      </x:c>
      <x:c r="AC17" s="98" t="str">
        <x:v>3 小时 20 分钟</x:v>
      </x:c>
      <x:c r="AD17" s="141" t="n">
        <x:v>2084</x:v>
      </x:c>
      <x:c r="AE17" s="98" t="str">
        <x:v>匹配原始往返起价</x:v>
      </x:c>
      <x:c r="AF17" s="100" t="str">
        <x:v>https://www.google.com/travel/flights/search?tfs=CBwQAhpLEgoyMDI2LTEwLTA1IiAKA1BWRxIKMjAyNi0xMC0wNRoDS01HKgJDQTIEODUzN2oMCAISCC9tLzA2d2pmcg0IAhIJL20vMDFjMDZkGikSCjIwMjYtMTAtMDlqDQgCEgkvbS8wMWMwNmRyDAgCEggvbS8wNndqZkABSAFwAYIBCwj___________8BmAEB&amp;tfu=CmxDalJJTFdzelFXRXhNM05FT1ZGQlJWQlVhMUZDUnkwdExTMHRMUzB0TFMxelpXRmtOa0ZCUVVGQlIzRlpRM1JSUm1oTFYzbEJFZ1pEUVRnMU16Y2FDZ2lrRUJBQUdnTkRUbGs0SEhDZzhnRT0SAggAIgA&amp;hl=zh-CN&amp;curr=CNY</x:v>
      </x:c>
    </x:row>
  </x:sheetData>
  <x:mergeCells>
    <x:mergeCell ref="A1:AF1"/>
    <x:mergeCell ref="A2:AF2"/>
    <x:mergeCell ref="A4:AF4"/>
    <x:mergeCell ref="A5:AF5"/>
  </x:mergeCells>
  <x:conditionalFormatting sqref="O8:O17">
    <x:cfRule type="cellIs" dxfId="2" priority="1" operator="lessThanOrEqual">
      <x:formula>3500</x:formula>
    </x:cfRule>
    <x:cfRule type="cellIs" dxfId="3" priority="2" operator="greaterThanOrEqual">
      <x:formula>4500</x:formula>
    </x:cfRule>
  </x:conditionalFormatting>
  <x:conditionalFormatting sqref="AE8:AE17">
    <x:cfRule type="containsText" dxfId="13" priority="3" operator="containsText" text="匹配原始"/>
    <x:cfRule type="containsText" dxfId="14" priority="4" operator="containsText" text="价格已变化"/>
    <x:cfRule type="containsText" dxfId="15" priority="5" operator="containsText" text="无价格"/>
    <x:cfRule type="containsText" dxfId="16" priority="6" operator="containsText" text="待核验"/>
    <x:cfRule type="containsText" dxfId="17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b0991cfd7ead4357"/>
    <x:tablePart xmlns:r="http://schemas.openxmlformats.org/officeDocument/2006/relationships" r:id="R399c07f1f6bb45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重庆 → 昆明（KMG） 全集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全集 = 2026-10-01 至 10-09、停留4–7天的14个日期组合中，所有当前可见且含20kg估算后严格低于¥5,000的唯一方案。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COUNTA(A8:A101)</x:f>
        <x:v>94</x:v>
      </x:c>
      <x:c r="C3" s="68"/>
      <x:c r="D3" s="68" t="str">
        <x:v>覆盖日期组合</x:v>
      </x:c>
      <x:c r="E3" s="68" t="str">
        <x:v>14/14</x:v>
      </x:c>
      <x:c r="F3" s="68"/>
      <x:c r="G3" s="68" t="str">
        <x:v>最低含行李价</x:v>
      </x:c>
      <x:c r="H3" s="69" t="n">
        <x:f>MIN(O8:O101)</x:f>
        <x:v>1113</x:v>
      </x:c>
      <x:c r="I3" s="68"/>
      <x:c r="J3" s="68" t="str">
        <x:v>最高合格价</x:v>
      </x:c>
      <x:c r="K3" s="69" t="n">
        <x:f>MAX(O8:O101)</x:f>
        <x:v>4820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46299</x:v>
      </x:c>
      <x:c r="C8" s="78" t="n">
        <x:v>46303</x:v>
      </x:c>
      <x:c r="D8" s="79" t="n">
        <x:v>4</x:v>
      </x:c>
      <x:c r="E8" s="80" t="str">
        <x:v>川航</x:v>
      </x:c>
      <x:c r="F8" s="80" t="str">
        <x:v>15:30</x:v>
      </x:c>
      <x:c r="G8" s="80" t="str">
        <x:v>16:55</x:v>
      </x:c>
      <x:c r="H8" s="80" t="str">
        <x:v>重庆江北国际机场</x:v>
      </x:c>
      <x:c r="I8" s="80" t="str">
        <x:v>昆明长水国际机场</x:v>
      </x:c>
      <x:c r="J8" s="80" t="n">
        <x:v>0</x:v>
      </x:c>
      <x:c r="K8" s="80" t="str">
        <x:v>—</x:v>
      </x:c>
      <x:c r="L8" s="80" t="str">
        <x:v>1 小时 25 分钟</x:v>
      </x:c>
      <x:c r="M8" s="81" t="n">
        <x:v>1113</x:v>
      </x:c>
      <x:c r="N8" s="81" t="n">
        <x:v>0</x:v>
      </x:c>
      <x:c r="O8" s="81" t="n">
        <x:f>M8+N8</x:f>
        <x:v>1113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46267.746032905095</x:v>
      </x:c>
      <x:c r="T8" s="84" t="str">
        <x:v>https://www.google.com/travel/flights?hl=zh-CN&amp;curr=CNY&amp;q=Flights%20from%20Chongqing%20to%20Kunming%20from%202026-10-04%20to%202026-10-08</x:v>
      </x:c>
      <x:c r="U8" s="133" t="n">
        <x:v>46303</x:v>
      </x:c>
      <x:c r="V8" s="82" t="str">
        <x:v>06:50</x:v>
      </x:c>
      <x:c r="W8" s="82" t="str">
        <x:v>昆明长水国际机场</x:v>
      </x:c>
      <x:c r="X8" s="134" t="n">
        <x:v>46303</x:v>
      </x:c>
      <x:c r="Y8" s="82" t="str">
        <x:v>08:25</x:v>
      </x:c>
      <x:c r="Z8" s="82" t="str">
        <x:v>重庆江北国际机场</x:v>
      </x:c>
      <x:c r="AA8" s="82" t="str">
        <x:v>川航</x:v>
      </x:c>
      <x:c r="AB8" s="82" t="n">
        <x:v>0</x:v>
      </x:c>
      <x:c r="AC8" s="82" t="str">
        <x:v>1 小时 35 分钟</x:v>
      </x:c>
      <x:c r="AD8" s="135"/>
      <x:c r="AE8" s="82" t="str">
        <x:v>当前返程列表无价格，采用排序第一条</x:v>
      </x:c>
      <x:c r="AF8" s="84" t="str">
        <x:v>https://www.google.com/travel/flights/search?tfs=CBwQAhpMEgoyMDI2LTEwLTA0IiAKA0NLRxIKMjAyNi0xMC0wNBoDS01HKgIzVTIEODI4NGoNCAISCS9tLzAxNzIzNnINCAISCS9tLzAxYzA2ZBoqEgoyMDI2LTEwLTA4ag0IAhIJL20vMDFjMDZkcg0IAhIJL20vMDE3MjM2QAFIAXABggELCP___________wGYAQE&amp;tfu=CmxDalJJUlROeFMwUnNXWFJRZEUxQlJWVTBhSGRDUnkwdExTMHRMWE50Y0hReE5DMXVNVUZCUVVGQlIzRlpSRU13U25BdGJWTkJFZ1l6VlRneU9EUWFDZ2paQ0JBQUdnTkRUbGs0SEhDd2dRRT0SAggAIgMKATA&amp;hl=zh-CN&amp;curr=CNY</x:v>
      </x:c>
    </x:row>
    <x:row r="9" ht="42" customHeight="1">
      <x:c r="A9" s="85" t="n">
        <x:f>ROW()-7</x:f>
        <x:v>2</x:v>
      </x:c>
      <x:c r="B9" s="86" t="n">
        <x:v>46299</x:v>
      </x:c>
      <x:c r="C9" s="86" t="n">
        <x:v>46303</x:v>
      </x:c>
      <x:c r="D9" s="87" t="n">
        <x:v>4</x:v>
      </x:c>
      <x:c r="E9" s="88" t="str">
        <x:v>东航</x:v>
      </x:c>
      <x:c r="F9" s="88" t="str">
        <x:v>06:40</x:v>
      </x:c>
      <x:c r="G9" s="88" t="str">
        <x:v>08:20</x:v>
      </x:c>
      <x:c r="H9" s="88" t="str">
        <x:v>重庆江北国际机场</x:v>
      </x:c>
      <x:c r="I9" s="88" t="str">
        <x:v>昆明长水国际机场</x:v>
      </x:c>
      <x:c r="J9" s="88" t="n">
        <x:v>0</x:v>
      </x:c>
      <x:c r="K9" s="88" t="str">
        <x:v>—</x:v>
      </x:c>
      <x:c r="L9" s="88" t="str">
        <x:v>1 小时 40 分钟</x:v>
      </x:c>
      <x:c r="M9" s="89" t="n">
        <x:v>1189</x:v>
      </x:c>
      <x:c r="N9" s="89" t="n">
        <x:v>0</x:v>
      </x:c>
      <x:c r="O9" s="89" t="n">
        <x:f>M9+N9</x:f>
        <x:v>1189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46267.746032905095</x:v>
      </x:c>
      <x:c r="T9" s="92" t="str">
        <x:v>https://www.google.com/travel/flights?hl=zh-CN&amp;curr=CNY&amp;q=Flights%20from%20Chongqing%20to%20Kunming%20from%202026-10-04%20to%202026-10-08</x:v>
      </x:c>
      <x:c r="U9" s="136" t="n">
        <x:v>46303</x:v>
      </x:c>
      <x:c r="V9" s="90" t="str">
        <x:v>06:50</x:v>
      </x:c>
      <x:c r="W9" s="90" t="str">
        <x:v>昆明长水国际机场</x:v>
      </x:c>
      <x:c r="X9" s="137" t="n">
        <x:v>46303</x:v>
      </x:c>
      <x:c r="Y9" s="90" t="str">
        <x:v>08:25</x:v>
      </x:c>
      <x:c r="Z9" s="90" t="str">
        <x:v>重庆江北国际机场</x:v>
      </x:c>
      <x:c r="AA9" s="90" t="str">
        <x:v>川航</x:v>
      </x:c>
      <x:c r="AB9" s="90" t="n">
        <x:v>0</x:v>
      </x:c>
      <x:c r="AC9" s="90" t="str">
        <x:v>1 小时 35 分钟</x:v>
      </x:c>
      <x:c r="AD9" s="138"/>
      <x:c r="AE9" s="90" t="str">
        <x:v>当前返程列表无价格，采用排序第一条</x:v>
      </x:c>
      <x:c r="AF9" s="92" t="str">
        <x:v>https://www.google.com/travel/flights/search?tfs=CBwQAhpMEgoyMDI2LTEwLTA0IiAKA0NLRxIKMjAyNi0xMC0wNBoDS01HKgJNVTIENTQ0OWoNCAISCS9tLzAxNzIzNnINCAISCS9tLzAxYzA2ZBoqEgoyMDI2LTEwLTA4ag0IAhIJL20vMDFjMDZkcg0IAhIJL20vMDE3MjM2QAFIAXABggELCP___________wGYAQE&amp;tfu=CmxDalJJY2pKUlRVOUphVk5QUmxsQlJIVlBkV2RDUnkwdExTMHRMUzB0TFMxemJXRXhNMEZCUVVGQlIzRlpSRU13UzJsdlJtbEJFZ1pOVlRVME5Ea2FDZ2pxQ3hBQUdnTkRUbGs0SEhEL3J3RT0SAggAIgA&amp;hl=zh-CN&amp;curr=CNY</x:v>
      </x:c>
    </x:row>
    <x:row r="10" ht="42" customHeight="1">
      <x:c r="A10" s="85" t="n">
        <x:f>ROW()-7</x:f>
        <x:v>3</x:v>
      </x:c>
      <x:c r="B10" s="86" t="n">
        <x:v>46299</x:v>
      </x:c>
      <x:c r="C10" s="86" t="n">
        <x:v>46303</x:v>
      </x:c>
      <x:c r="D10" s="87" t="n">
        <x:v>4</x:v>
      </x:c>
      <x:c r="E10" s="88" t="str">
        <x:v>南航</x:v>
      </x:c>
      <x:c r="F10" s="88" t="str">
        <x:v>19:30</x:v>
      </x:c>
      <x:c r="G10" s="88" t="str">
        <x:v>21:00</x:v>
      </x:c>
      <x:c r="H10" s="88" t="str">
        <x:v>重庆江北国际机场</x:v>
      </x:c>
      <x:c r="I10" s="88" t="str">
        <x:v>昆明长水国际机场</x:v>
      </x:c>
      <x:c r="J10" s="88" t="n">
        <x:v>0</x:v>
      </x:c>
      <x:c r="K10" s="88" t="str">
        <x:v>—</x:v>
      </x:c>
      <x:c r="L10" s="88" t="str">
        <x:v>1 小时 30 分钟</x:v>
      </x:c>
      <x:c r="M10" s="89" t="n">
        <x:v>1192</x:v>
      </x:c>
      <x:c r="N10" s="89" t="n">
        <x:v>0</x:v>
      </x:c>
      <x:c r="O10" s="89" t="n">
        <x:f>M10+N10</x:f>
        <x:v>1192</x:v>
      </x:c>
      <x:c r="P10" s="88" t="str">
        <x:f>IF(O10&lt;5000,"是","否")</x:f>
        <x:v>是</x:v>
      </x:c>
      <x:c r="Q10" s="90" t="str">
        <x:v>国内经济舱通常含20kg；出票前须按实际票价等级复核</x:v>
      </x:c>
      <x:c r="R10" s="90" t="str">
        <x:v>该去程对应的最低可订返程组合；具体返程航班需打开来源链接确认</x:v>
      </x:c>
      <x:c r="S10" s="91" t="n">
        <x:v>46267.746032905095</x:v>
      </x:c>
      <x:c r="T10" s="92" t="str">
        <x:v>https://www.google.com/travel/flights?hl=zh-CN&amp;curr=CNY&amp;q=Flights%20from%20Chongqing%20to%20Kunming%20from%202026-10-04%20to%202026-10-08</x:v>
      </x:c>
      <x:c r="U10" s="136" t="n">
        <x:v>46303</x:v>
      </x:c>
      <x:c r="V10" s="90" t="str">
        <x:v>22:05</x:v>
      </x:c>
      <x:c r="W10" s="90" t="str">
        <x:v>昆明长水国际机场</x:v>
      </x:c>
      <x:c r="X10" s="137" t="n">
        <x:v>46303</x:v>
      </x:c>
      <x:c r="Y10" s="90" t="str">
        <x:v>23:50</x:v>
      </x:c>
      <x:c r="Z10" s="90" t="str">
        <x:v>重庆江北国际机场</x:v>
      </x:c>
      <x:c r="AA10" s="90" t="str">
        <x:v>重航</x:v>
      </x:c>
      <x:c r="AB10" s="90" t="n">
        <x:v>0</x:v>
      </x:c>
      <x:c r="AC10" s="90" t="str">
        <x:v>1 小时 45 分钟</x:v>
      </x:c>
      <x:c r="AD10" s="138"/>
      <x:c r="AE10" s="90" t="str">
        <x:v>当前返程列表无价格，采用排序第一条</x:v>
      </x:c>
      <x:c r="AF10" s="92" t="str">
        <x:v>https://www.google.com/travel/flights/search?tfs=CBwQAhpMEgoyMDI2LTEwLTA0IiAKA0NLRxIKMjAyNi0xMC0wNBoDS01HKgJPUTIEMjExOWoNCAISCS9tLzAxNzIzNnINCAISCS9tLzAxYzA2ZBoqEgoyMDI2LTEwLTA4ag0IAhIJL20vMDFjMDZkcg0IAhIJL20vMDE3MjM2QAFIAXABggELCP___________wGYAQE&amp;tfu=ClhDalJJTlU4M1RFRndjM05IY25OQlJsY3daVUZDUnkwdExTMHRMUzB0TFhOdFltUm5ORUZCUVVGQlIzRlpSRU52VEVoZk0zZEJFZ1pQVVRJeE1UazRIUT09EgIIACIA&amp;hl=zh-CN&amp;curr=CNY</x:v>
      </x:c>
    </x:row>
    <x:row r="11" ht="42" customHeight="1">
      <x:c r="A11" s="85" t="n">
        <x:f>ROW()-7</x:f>
        <x:v>4</x:v>
      </x:c>
      <x:c r="B11" s="86" t="n">
        <x:v>46300</x:v>
      </x:c>
      <x:c r="C11" s="86" t="n">
        <x:v>46304</x:v>
      </x:c>
      <x:c r="D11" s="87" t="n">
        <x:v>4</x:v>
      </x:c>
      <x:c r="E11" s="88" t="str">
        <x:v>东航</x:v>
      </x:c>
      <x:c r="F11" s="88" t="str">
        <x:v>06:40</x:v>
      </x:c>
      <x:c r="G11" s="88" t="str">
        <x:v>08:20</x:v>
      </x:c>
      <x:c r="H11" s="88" t="str">
        <x:v>重庆江北国际机场</x:v>
      </x:c>
      <x:c r="I11" s="88" t="str">
        <x:v>昆明长水国际机场</x:v>
      </x:c>
      <x:c r="J11" s="88" t="n">
        <x:v>0</x:v>
      </x:c>
      <x:c r="K11" s="88" t="str">
        <x:v>—</x:v>
      </x:c>
      <x:c r="L11" s="88" t="str">
        <x:v>1 小时 40 分钟</x:v>
      </x:c>
      <x:c r="M11" s="89" t="n">
        <x:v>1214</x:v>
      </x:c>
      <x:c r="N11" s="89" t="n">
        <x:v>0</x:v>
      </x:c>
      <x:c r="O11" s="89" t="n">
        <x:f>M11+N11</x:f>
        <x:v>1214</x:v>
      </x:c>
      <x:c r="P11" s="88" t="str">
        <x:f>IF(O11&lt;5000,"是","否")</x:f>
        <x:v>是</x:v>
      </x:c>
      <x:c r="Q11" s="90" t="str">
        <x:v>国内经济舱通常含20kg；出票前须按实际票价等级复核</x:v>
      </x:c>
      <x:c r="R11" s="90" t="str">
        <x:v>该去程对应的最低可订返程组合；具体返程航班需打开来源链接确认</x:v>
      </x:c>
      <x:c r="S11" s="91" t="n">
        <x:v>46267.746032905095</x:v>
      </x:c>
      <x:c r="T11" s="92" t="str">
        <x:v>https://www.google.com/travel/flights?hl=zh-CN&amp;curr=CNY&amp;q=Flights%20from%20Chongqing%20to%20Kunming%20from%202026-10-05%20to%202026-10-09</x:v>
      </x:c>
      <x:c r="U11" s="136" t="n">
        <x:v>46304</x:v>
      </x:c>
      <x:c r="V11" s="90" t="str">
        <x:v>07:05</x:v>
      </x:c>
      <x:c r="W11" s="90" t="str">
        <x:v>昆明长水国际机场</x:v>
      </x:c>
      <x:c r="X11" s="137" t="n">
        <x:v>46304</x:v>
      </x:c>
      <x:c r="Y11" s="90" t="str">
        <x:v>08:35</x:v>
      </x:c>
      <x:c r="Z11" s="90" t="str">
        <x:v>重庆江北国际机场</x:v>
      </x:c>
      <x:c r="AA11" s="90" t="str">
        <x:v>川航</x:v>
      </x:c>
      <x:c r="AB11" s="90" t="n">
        <x:v>0</x:v>
      </x:c>
      <x:c r="AC11" s="90" t="str">
        <x:v>1 小时 30 分钟</x:v>
      </x:c>
      <x:c r="AD11" s="138"/>
      <x:c r="AE11" s="90" t="str">
        <x:v>当前返程列表无价格，采用排序第一条</x:v>
      </x:c>
      <x:c r="AF11" s="92" t="str">
        <x:v>https://www.google.com/travel/flights/search?tfs=CBwQAhpMEgoyMDI2LTEwLTA1IiAKA0NLRxIKMjAyNi0xMC0wNRoDS01HKgJNVTIENTQ0OWoNCAISCS9tLzAxNzIzNnINCAISCS9tLzAxYzA2ZBoqEgoyMDI2LTEwLTA5ag0IAhIJL20vMDFjMDZkcg0IAhIJL20vMDE3MjM2QAFIAXABggELCP___________wGYAQE&amp;tfu=CmxDalJJVEVWeVNtOXViVTh0ZVZGQlJXOWhNMmRDUnkwdExTMHRMUzB0TFMxelpXTmpPVUZCUVVGQlIzRlpSRU4zVEMxNVQwRkJFZ1pOVlRVME5Ea2FDZ2krQ1JBQUdnTkRUbGs0SEhDUGpRRT0SAggAIgA&amp;hl=zh-CN&amp;curr=CNY</x:v>
      </x:c>
    </x:row>
    <x:row r="12" ht="42" customHeight="1">
      <x:c r="A12" s="85" t="n">
        <x:f>ROW()-7</x:f>
        <x:v>5</x:v>
      </x:c>
      <x:c r="B12" s="86" t="n">
        <x:v>46297</x:v>
      </x:c>
      <x:c r="C12" s="86" t="n">
        <x:v>46304</x:v>
      </x:c>
      <x:c r="D12" s="87" t="n">
        <x:v>7</x:v>
      </x:c>
      <x:c r="E12" s="88" t="str">
        <x:v>川航</x:v>
      </x:c>
      <x:c r="F12" s="88" t="str">
        <x:v>15:30</x:v>
      </x:c>
      <x:c r="G12" s="88" t="str">
        <x:v>16:55</x:v>
      </x:c>
      <x:c r="H12" s="88" t="str">
        <x:v>重庆江北国际机场</x:v>
      </x:c>
      <x:c r="I12" s="88" t="str">
        <x:v>昆明长水国际机场</x:v>
      </x:c>
      <x:c r="J12" s="88" t="n">
        <x:v>0</x:v>
      </x:c>
      <x:c r="K12" s="88" t="str">
        <x:v>—</x:v>
      </x:c>
      <x:c r="L12" s="88" t="str">
        <x:v>1 小时 25 分钟</x:v>
      </x:c>
      <x:c r="M12" s="89" t="n">
        <x:v>1235</x:v>
      </x:c>
      <x:c r="N12" s="89" t="n">
        <x:v>0</x:v>
      </x:c>
      <x:c r="O12" s="89" t="n">
        <x:f>M12+N12</x:f>
        <x:v>1235</x:v>
      </x:c>
      <x:c r="P12" s="88" t="str">
        <x:f>IF(O12&lt;5000,"是","否")</x:f>
        <x:v>是</x:v>
      </x:c>
      <x:c r="Q12" s="90" t="str">
        <x:v>国内经济舱通常含20kg；出票前须按实际票价等级复核</x:v>
      </x:c>
      <x:c r="R12" s="90" t="str">
        <x:v>该去程对应的最低可订返程组合；具体返程航班需打开来源链接确认</x:v>
      </x:c>
      <x:c r="S12" s="91" t="n">
        <x:v>46267.746032905095</x:v>
      </x:c>
      <x:c r="T12" s="92" t="str">
        <x:v>https://www.google.com/travel/flights?hl=zh-CN&amp;curr=CNY&amp;q=Flights%20from%20Chongqing%20to%20Kunming%20from%202026-10-02%20to%202026-10-09</x:v>
      </x:c>
      <x:c r="U12" s="136" t="n">
        <x:v>46304</x:v>
      </x:c>
      <x:c r="V12" s="90" t="str">
        <x:v>07:05</x:v>
      </x:c>
      <x:c r="W12" s="90" t="str">
        <x:v>昆明长水国际机场</x:v>
      </x:c>
      <x:c r="X12" s="137" t="n">
        <x:v>46304</x:v>
      </x:c>
      <x:c r="Y12" s="90" t="str">
        <x:v>08:35</x:v>
      </x:c>
      <x:c r="Z12" s="90" t="str">
        <x:v>重庆江北国际机场</x:v>
      </x:c>
      <x:c r="AA12" s="90" t="str">
        <x:v>川航</x:v>
      </x:c>
      <x:c r="AB12" s="90" t="n">
        <x:v>0</x:v>
      </x:c>
      <x:c r="AC12" s="90" t="str">
        <x:v>1 小时 30 分钟</x:v>
      </x:c>
      <x:c r="AD12" s="138"/>
      <x:c r="AE12" s="90" t="str">
        <x:v>当前返程列表无价格，采用排序第一条</x:v>
      </x:c>
      <x:c r="AF12" s="92" t="str">
        <x:v>https://www.google.com/travel/flights/search?tfs=CBwQAhpMEgoyMDI2LTEwLTAyIiAKA0NLRxIKMjAyNi0xMC0wMhoDS01HKgIzVTIEODI4NGoNCAISCS9tLzAxNzIzNnINCAISCS9tLzAxYzA2ZBoqEgoyMDI2LTEwLTA5ag0IAhIJL20vMDFjMDZkcg0IAhIJL20vMDE3MjM2QAFIAXABggELCP___________wGYAQE&amp;tfu=ClhDalJJVEVWeVNtOXViVTh0ZVZGQlJXOWxlWGRDUnkwdExTMHRMUzB0TFMxelpXTmpPVUZCUVVGQlIzRlpSRVJqUlVsaFprVkJFZ1l6VlRneU9EUTRIQT09EgYIACACKAEiAwoBMA&amp;hl=zh-CN&amp;curr=CNY</x:v>
      </x:c>
    </x:row>
    <x:row r="13" ht="42" customHeight="1">
      <x:c r="A13" s="85" t="n">
        <x:f>ROW()-7</x:f>
        <x:v>6</x:v>
      </x:c>
      <x:c r="B13" s="86" t="n">
        <x:v>46300</x:v>
      </x:c>
      <x:c r="C13" s="86" t="n">
        <x:v>46304</x:v>
      </x:c>
      <x:c r="D13" s="87" t="n">
        <x:v>4</x:v>
      </x:c>
      <x:c r="E13" s="88" t="str">
        <x:v>东航</x:v>
      </x:c>
      <x:c r="F13" s="88" t="str">
        <x:v>10:50</x:v>
      </x:c>
      <x:c r="G13" s="88" t="str">
        <x:v>12:25</x:v>
      </x:c>
      <x:c r="H13" s="88" t="str">
        <x:v>重庆江北国际机场</x:v>
      </x:c>
      <x:c r="I13" s="88" t="str">
        <x:v>昆明长水国际机场</x:v>
      </x:c>
      <x:c r="J13" s="88" t="n">
        <x:v>0</x:v>
      </x:c>
      <x:c r="K13" s="88" t="str">
        <x:v>—</x:v>
      </x:c>
      <x:c r="L13" s="88" t="str">
        <x:v>1 小时 35 分钟</x:v>
      </x:c>
      <x:c r="M13" s="89" t="n">
        <x:v>1261</x:v>
      </x:c>
      <x:c r="N13" s="89" t="n">
        <x:v>0</x:v>
      </x:c>
      <x:c r="O13" s="89" t="n">
        <x:f>M13+N13</x:f>
        <x:v>1261</x:v>
      </x:c>
      <x:c r="P13" s="88" t="str">
        <x:f>IF(O13&lt;5000,"是","否")</x:f>
        <x:v>是</x:v>
      </x:c>
      <x:c r="Q13" s="90" t="str">
        <x:v>国内经济舱通常含20kg；出票前须按实际票价等级复核</x:v>
      </x:c>
      <x:c r="R13" s="90" t="str">
        <x:v>该去程对应的最低可订返程组合；具体返程航班需打开来源链接确认</x:v>
      </x:c>
      <x:c r="S13" s="91" t="n">
        <x:v>46267.746032905095</x:v>
      </x:c>
      <x:c r="T13" s="92" t="str">
        <x:v>https://www.google.com/travel/flights?hl=zh-CN&amp;curr=CNY&amp;q=Flights%20from%20Chongqing%20to%20Kunming%20from%202026-10-05%20to%202026-10-09</x:v>
      </x:c>
      <x:c r="U13" s="136" t="n">
        <x:v>46304</x:v>
      </x:c>
      <x:c r="V13" s="90" t="str">
        <x:v>08:05</x:v>
      </x:c>
      <x:c r="W13" s="90" t="str">
        <x:v>昆明长水国际机场</x:v>
      </x:c>
      <x:c r="X13" s="137" t="n">
        <x:v>46304</x:v>
      </x:c>
      <x:c r="Y13" s="90" t="str">
        <x:v>09:35</x:v>
      </x:c>
      <x:c r="Z13" s="90" t="str">
        <x:v>重庆江北国际机场</x:v>
      </x:c>
      <x:c r="AA13" s="90" t="str">
        <x:v>东航</x:v>
      </x:c>
      <x:c r="AB13" s="90" t="n">
        <x:v>0</x:v>
      </x:c>
      <x:c r="AC13" s="90" t="str">
        <x:v>1 小时 30 分钟</x:v>
      </x:c>
      <x:c r="AD13" s="138" t="n">
        <x:v>1261</x:v>
      </x:c>
      <x:c r="AE13" s="90" t="str">
        <x:v>匹配原始往返起价</x:v>
      </x:c>
      <x:c r="AF13" s="92" t="str">
        <x:v>https://www.google.com/travel/flights/search?tfs=CBwQAhpMEgoyMDI2LTEwLTA1IiAKA0NLRxIKMjAyNi0xMC0wNRoDS01HKgJNVTIENTg2NmoNCAISCS9tLzAxNzIzNnINCAISCS9tLzAxYzA2ZBoqEgoyMDI2LTEwLTA5ag0IAhIJL20vMDFjMDZkcg0IAhIJL20vMDE3MjM2QAFIAXABggELCP___________wGYAQE&amp;tfu=CmxDalJJUlROeFMwUnNXWFJRZEUxQlJWVTNNRkZDUnkwdExTMHRMWE50Y0hReE5DMXVNVUZCUVVGQlIzRlpSRVJaUmpacFdWTkJFZ1pOVlRVNE5qWWFDZ2p0Q1JBQUdnTkRUbGs0SEhETGtnRT0SAggAIgA&amp;hl=zh-CN&amp;curr=CNY</x:v>
      </x:c>
    </x:row>
    <x:row r="14" ht="42" customHeight="1">
      <x:c r="A14" s="85" t="n">
        <x:f>ROW()-7</x:f>
        <x:v>7</x:v>
      </x:c>
      <x:c r="B14" s="86" t="n">
        <x:v>46299</x:v>
      </x:c>
      <x:c r="C14" s="86" t="n">
        <x:v>46303</x:v>
      </x:c>
      <x:c r="D14" s="87" t="n">
        <x:v>4</x:v>
      </x:c>
      <x:c r="E14" s="88" t="str">
        <x:v>东航</x:v>
      </x:c>
      <x:c r="F14" s="88" t="str">
        <x:v>10:50</x:v>
      </x:c>
      <x:c r="G14" s="88" t="str">
        <x:v>12:25</x:v>
      </x:c>
      <x:c r="H14" s="88" t="str">
        <x:v>重庆江北国际机场</x:v>
      </x:c>
      <x:c r="I14" s="88" t="str">
        <x:v>昆明长水国际机场</x:v>
      </x:c>
      <x:c r="J14" s="88" t="n">
        <x:v>0</x:v>
      </x:c>
      <x:c r="K14" s="88" t="str">
        <x:v>—</x:v>
      </x:c>
      <x:c r="L14" s="88" t="str">
        <x:v>1 小时 35 分钟</x:v>
      </x:c>
      <x:c r="M14" s="89" t="n">
        <x:v>1290</x:v>
      </x:c>
      <x:c r="N14" s="89" t="n">
        <x:v>0</x:v>
      </x:c>
      <x:c r="O14" s="89" t="n">
        <x:f>M14+N14</x:f>
        <x:v>1290</x:v>
      </x:c>
      <x:c r="P14" s="88" t="str">
        <x:f>IF(O14&lt;5000,"是","否")</x:f>
        <x:v>是</x:v>
      </x:c>
      <x:c r="Q14" s="90" t="str">
        <x:v>国内经济舱通常含20kg；出票前须按实际票价等级复核</x:v>
      </x:c>
      <x:c r="R14" s="90" t="str">
        <x:v>该去程对应的最低可订返程组合；具体返程航班需打开来源链接确认</x:v>
      </x:c>
      <x:c r="S14" s="91" t="n">
        <x:v>46267.746032905095</x:v>
      </x:c>
      <x:c r="T14" s="92" t="str">
        <x:v>https://www.google.com/travel/flights?hl=zh-CN&amp;curr=CNY&amp;q=Flights%20from%20Chongqing%20to%20Kunming%20from%202026-10-04%20to%202026-10-08</x:v>
      </x:c>
      <x:c r="U14" s="136" t="n">
        <x:v>46303</x:v>
      </x:c>
      <x:c r="V14" s="90" t="str">
        <x:v>08:05</x:v>
      </x:c>
      <x:c r="W14" s="90" t="str">
        <x:v>昆明长水国际机场</x:v>
      </x:c>
      <x:c r="X14" s="137" t="n">
        <x:v>46303</x:v>
      </x:c>
      <x:c r="Y14" s="90" t="str">
        <x:v>09:35</x:v>
      </x:c>
      <x:c r="Z14" s="90" t="str">
        <x:v>重庆江北国际机场</x:v>
      </x:c>
      <x:c r="AA14" s="90" t="str">
        <x:v>东航</x:v>
      </x:c>
      <x:c r="AB14" s="90" t="n">
        <x:v>0</x:v>
      </x:c>
      <x:c r="AC14" s="90" t="str">
        <x:v>1 小时 30 分钟</x:v>
      </x:c>
      <x:c r="AD14" s="138" t="n">
        <x:v>1462</x:v>
      </x:c>
      <x:c r="AE14" s="90" t="str">
        <x:v>当前价格已变化，采用当前最低价返程</x:v>
      </x:c>
      <x:c r="AF14" s="92" t="str">
        <x:v>https://www.google.com/travel/flights/search?tfs=CBwQAhpMEgoyMDI2LTEwLTA0IiAKA0NLRxIKMjAyNi0xMC0wNBoDS01HKgJNVTIENTg2NmoNCAISCS9tLzAxNzIzNnINCAISCS9tLzAxYzA2ZBoqEgoyMDI2LTEwLTA4ag0IAhIJL20vMDFjMDZkcg0IAhIJL20vMDE3MjM2QAFIAXABggELCP___________wGYAQE&amp;tfu=CmxDalJJV25VMlpHdHJNMVpPY1ZsQlJDMURlV2RDUnkwdExTMHRMUzF6YlhWa015MXVNa0ZCUVVGQlIzRlpSRVJOVHpSTU9GRkJFZ1pOVlRVNE5qWWFDZ2kyQ3hBQUdnTkRUbGs0SFhENXFRRT0SAggAIgA&amp;hl=zh-CN&amp;curr=CNY</x:v>
      </x:c>
    </x:row>
    <x:row r="15" ht="42" customHeight="1">
      <x:c r="A15" s="85" t="n">
        <x:f>ROW()-7</x:f>
        <x:v>8</x:v>
      </x:c>
      <x:c r="B15" s="86" t="n">
        <x:v>46297</x:v>
      </x:c>
      <x:c r="C15" s="86" t="n">
        <x:v>46304</x:v>
      </x:c>
      <x:c r="D15" s="87" t="n">
        <x:v>7</x:v>
      </x:c>
      <x:c r="E15" s="88" t="str">
        <x:v>东航</x:v>
      </x:c>
      <x:c r="F15" s="88" t="str">
        <x:v>15:30</x:v>
      </x:c>
      <x:c r="G15" s="88" t="str">
        <x:v>17:05</x:v>
      </x:c>
      <x:c r="H15" s="88" t="str">
        <x:v>重庆江北国际机场</x:v>
      </x:c>
      <x:c r="I15" s="88" t="str">
        <x:v>昆明长水国际机场</x:v>
      </x:c>
      <x:c r="J15" s="88" t="n">
        <x:v>0</x:v>
      </x:c>
      <x:c r="K15" s="88" t="str">
        <x:v>—</x:v>
      </x:c>
      <x:c r="L15" s="88" t="str">
        <x:v>1 小时 35 分钟</x:v>
      </x:c>
      <x:c r="M15" s="89" t="n">
        <x:v>1361</x:v>
      </x:c>
      <x:c r="N15" s="89" t="n">
        <x:v>0</x:v>
      </x:c>
      <x:c r="O15" s="89" t="n">
        <x:f>M15+N15</x:f>
        <x:v>1361</x:v>
      </x:c>
      <x:c r="P15" s="88" t="str">
        <x:f>IF(O15&lt;5000,"是","否")</x:f>
        <x:v>是</x:v>
      </x:c>
      <x:c r="Q15" s="90" t="str">
        <x:v>国内经济舱通常含20kg；出票前须按实际票价等级复核</x:v>
      </x:c>
      <x:c r="R15" s="90" t="str">
        <x:v>该去程对应的最低可订返程组合；具体返程航班需打开来源链接确认</x:v>
      </x:c>
      <x:c r="S15" s="91" t="n">
        <x:v>46267.746032905095</x:v>
      </x:c>
      <x:c r="T15" s="92" t="str">
        <x:v>https://www.google.com/travel/flights?hl=zh-CN&amp;curr=CNY&amp;q=Flights%20from%20Chongqing%20to%20Kunming%20from%202026-10-02%20to%202026-10-09</x:v>
      </x:c>
      <x:c r="U15" s="136" t="n">
        <x:v>46304</x:v>
      </x:c>
      <x:c r="V15" s="90" t="str">
        <x:v>07:05</x:v>
      </x:c>
      <x:c r="W15" s="90" t="str">
        <x:v>昆明长水国际机场</x:v>
      </x:c>
      <x:c r="X15" s="137" t="n">
        <x:v>46304</x:v>
      </x:c>
      <x:c r="Y15" s="90" t="str">
        <x:v>08:35</x:v>
      </x:c>
      <x:c r="Z15" s="90" t="str">
        <x:v>重庆江北国际机场</x:v>
      </x:c>
      <x:c r="AA15" s="90" t="str">
        <x:v>川航</x:v>
      </x:c>
      <x:c r="AB15" s="90" t="n">
        <x:v>0</x:v>
      </x:c>
      <x:c r="AC15" s="90" t="str">
        <x:v>1 小时 30 分钟</x:v>
      </x:c>
      <x:c r="AD15" s="138"/>
      <x:c r="AE15" s="90" t="str">
        <x:v>当前返程列表无价格，采用排序第一条</x:v>
      </x:c>
      <x:c r="AF15" s="92" t="str">
        <x:v>https://www.google.com/travel/flights/search?tfs=CBwQAhpMEgoyMDI2LTEwLTAyIiAKA0NLRxIKMjAyNi0xMC0wMhoDS01HKgJNVTIENTg2NGoNCAISCS9tLzAxNzIzNnINCAISCS9tLzAxYzA2ZBoqEgoyMDI2LTEwLTA5ag0IAhIJL20vMDFjMDZkcg0IAhIJL20vMDE3MjM2QAFIAXABggELCP___________wGYAQE&amp;tfu=CmxDalJJUldWVWVrOVRPSFJGVkRCQlJWWmFiSGRDUnkwdExTMHRMUzB0TFhObFoyY3lOMEZCUVVGQlIzRlpSRVJaUzNreWVVZEJFZ1pOVlRVNE5qUWFDZ2pSQ2hBQUdnTkRUbGs0SEhDYW5nRT0SAggAIgA&amp;hl=zh-CN&amp;curr=CNY</x:v>
      </x:c>
    </x:row>
    <x:row r="16" ht="42" customHeight="1">
      <x:c r="A16" s="85" t="n">
        <x:f>ROW()-7</x:f>
        <x:v>9</x:v>
      </x:c>
      <x:c r="B16" s="86" t="n">
        <x:v>46299</x:v>
      </x:c>
      <x:c r="C16" s="86" t="n">
        <x:v>46303</x:v>
      </x:c>
      <x:c r="D16" s="87" t="n">
        <x:v>4</x:v>
      </x:c>
      <x:c r="E16" s="88" t="str">
        <x:v>东航</x:v>
      </x:c>
      <x:c r="F16" s="88" t="str">
        <x:v>15:30</x:v>
      </x:c>
      <x:c r="G16" s="88" t="str">
        <x:v>17:05</x:v>
      </x:c>
      <x:c r="H16" s="88" t="str">
        <x:v>重庆江北国际机场</x:v>
      </x:c>
      <x:c r="I16" s="88" t="str">
        <x:v>昆明长水国际机场</x:v>
      </x:c>
      <x:c r="J16" s="88" t="n">
        <x:v>0</x:v>
      </x:c>
      <x:c r="K16" s="88" t="str">
        <x:v>—</x:v>
      </x:c>
      <x:c r="L16" s="88" t="str">
        <x:v>1 小时 35 分钟</x:v>
      </x:c>
      <x:c r="M16" s="89" t="n">
        <x:v>1361</x:v>
      </x:c>
      <x:c r="N16" s="89" t="n">
        <x:v>0</x:v>
      </x:c>
      <x:c r="O16" s="89" t="n">
        <x:f>M16+N16</x:f>
        <x:v>1361</x:v>
      </x:c>
      <x:c r="P16" s="88" t="str">
        <x:f>IF(O16&lt;5000,"是","否")</x:f>
        <x:v>是</x:v>
      </x:c>
      <x:c r="Q16" s="90" t="str">
        <x:v>国内经济舱通常含20kg；出票前须按实际票价等级复核</x:v>
      </x:c>
      <x:c r="R16" s="90" t="str">
        <x:v>该去程对应的最低可订返程组合；具体返程航班需打开来源链接确认</x:v>
      </x:c>
      <x:c r="S16" s="91" t="n">
        <x:v>46267.746032905095</x:v>
      </x:c>
      <x:c r="T16" s="92" t="str">
        <x:v>https://www.google.com/travel/flights?hl=zh-CN&amp;curr=CNY&amp;q=Flights%20from%20Chongqing%20to%20Kunming%20from%202026-10-04%20to%202026-10-08</x:v>
      </x:c>
      <x:c r="U16" s="136" t="n">
        <x:v>46303</x:v>
      </x:c>
      <x:c r="V16" s="90" t="str">
        <x:v>06:50</x:v>
      </x:c>
      <x:c r="W16" s="90" t="str">
        <x:v>昆明长水国际机场</x:v>
      </x:c>
      <x:c r="X16" s="137" t="n">
        <x:v>46303</x:v>
      </x:c>
      <x:c r="Y16" s="90" t="str">
        <x:v>08:25</x:v>
      </x:c>
      <x:c r="Z16" s="90" t="str">
        <x:v>重庆江北国际机场</x:v>
      </x:c>
      <x:c r="AA16" s="90" t="str">
        <x:v>川航</x:v>
      </x:c>
      <x:c r="AB16" s="90" t="n">
        <x:v>0</x:v>
      </x:c>
      <x:c r="AC16" s="90" t="str">
        <x:v>1 小时 35 分钟</x:v>
      </x:c>
      <x:c r="AD16" s="138"/>
      <x:c r="AE16" s="90" t="str">
        <x:v>当前返程列表无价格，采用排序第一条</x:v>
      </x:c>
      <x:c r="AF16" s="92" t="str">
        <x:v>https://www.google.com/travel/flights/search?tfs=CBwQAhpMEgoyMDI2LTEwLTA0IiAKA0NLRxIKMjAyNi0xMC0wNBoDS01HKgJNVTIENTg2NGoNCAISCS9tLzAxNzIzNnINCAISCS9tLzAxYzA2ZBoqEgoyMDI2LTEwLTA4ag0IAhIJL20vMDFjMDZkcg0IAhIJL20vMDE3MjM2QAFIAXABggELCP___________wGYAQE&amp;tfu=CmxDalJJV25VMlpHdHJNMVpPY1ZsQlJDMUpTRkZDUnkwdExTMHRMUzF6YlhWa015MXVNa0ZCUVVGQlIzRlpSRVZOUWxjNGF6QkJFZ1pOVlRVNE5qUWFDZ2pSQ2hBQUdnTkRUbGs0SEhDYW5nRT0SAggAIgA&amp;hl=zh-CN&amp;curr=CNY</x:v>
      </x:c>
    </x:row>
    <x:row r="17" ht="42" customHeight="1">
      <x:c r="A17" s="85" t="n">
        <x:f>ROW()-7</x:f>
        <x:v>10</x:v>
      </x:c>
      <x:c r="B17" s="86" t="n">
        <x:v>46297</x:v>
      </x:c>
      <x:c r="C17" s="86" t="n">
        <x:v>46304</x:v>
      </x:c>
      <x:c r="D17" s="87" t="n">
        <x:v>7</x:v>
      </x:c>
      <x:c r="E17" s="88" t="str">
        <x:v>东航</x:v>
      </x:c>
      <x:c r="F17" s="88" t="str">
        <x:v>10:50</x:v>
      </x:c>
      <x:c r="G17" s="88" t="str">
        <x:v>12:25</x:v>
      </x:c>
      <x:c r="H17" s="88" t="str">
        <x:v>重庆江北国际机场</x:v>
      </x:c>
      <x:c r="I17" s="88" t="str">
        <x:v>昆明长水国际机场</x:v>
      </x:c>
      <x:c r="J17" s="88" t="n">
        <x:v>0</x:v>
      </x:c>
      <x:c r="K17" s="88" t="str">
        <x:v>—</x:v>
      </x:c>
      <x:c r="L17" s="88" t="str">
        <x:v>1 小时 35 分钟</x:v>
      </x:c>
      <x:c r="M17" s="89" t="n">
        <x:v>1462</x:v>
      </x:c>
      <x:c r="N17" s="89" t="n">
        <x:v>0</x:v>
      </x:c>
      <x:c r="O17" s="89" t="n">
        <x:f>M17+N17</x:f>
        <x:v>1462</x:v>
      </x:c>
      <x:c r="P17" s="88" t="str">
        <x:f>IF(O17&lt;5000,"是","否")</x:f>
        <x:v>是</x:v>
      </x:c>
      <x:c r="Q17" s="90" t="str">
        <x:v>国内经济舱通常含20kg；出票前须按实际票价等级复核</x:v>
      </x:c>
      <x:c r="R17" s="90" t="str">
        <x:v>该去程对应的最低可订返程组合；具体返程航班需打开来源链接确认</x:v>
      </x:c>
      <x:c r="S17" s="91" t="n">
        <x:v>46267.746032905095</x:v>
      </x:c>
      <x:c r="T17" s="92" t="str">
        <x:v>https://www.google.com/travel/flights?hl=zh-CN&amp;curr=CNY&amp;q=Flights%20from%20Chongqing%20to%20Kunming%20from%202026-10-02%20to%202026-10-09</x:v>
      </x:c>
      <x:c r="U17" s="136" t="n">
        <x:v>46304</x:v>
      </x:c>
      <x:c r="V17" s="90" t="str">
        <x:v>07:05</x:v>
      </x:c>
      <x:c r="W17" s="90" t="str">
        <x:v>昆明长水国际机场</x:v>
      </x:c>
      <x:c r="X17" s="137" t="n">
        <x:v>46304</x:v>
      </x:c>
      <x:c r="Y17" s="90" t="str">
        <x:v>08:35</x:v>
      </x:c>
      <x:c r="Z17" s="90" t="str">
        <x:v>重庆江北国际机场</x:v>
      </x:c>
      <x:c r="AA17" s="90" t="str">
        <x:v>川航</x:v>
      </x:c>
      <x:c r="AB17" s="90" t="n">
        <x:v>0</x:v>
      </x:c>
      <x:c r="AC17" s="90" t="str">
        <x:v>1 小时 30 分钟</x:v>
      </x:c>
      <x:c r="AD17" s="138"/>
      <x:c r="AE17" s="90" t="str">
        <x:v>当前返程列表无价格，采用排序第一条</x:v>
      </x:c>
      <x:c r="AF17" s="92" t="str">
        <x:v>https://www.google.com/travel/flights/search?tfs=CBwQAhpMEgoyMDI2LTEwLTAyIiAKA0NLRxIKMjAyNi0xMC0wMhoDS01HKgJNVTIENTg2NmoNCAISCS9tLzAxNzIzNnINCAISCS9tLzAxYzA2ZBoqEgoyMDI2LTEwLTA5ag0IAhIJL20vMDFjMDZkcg0IAhIJL20vMDE3MjM2QAFIAXABggELCP___________wGYAQE&amp;tfu=CmxDalJJUldWVWVrOVRPSFJGVkRCQlJWWmtVa0ZDUnkwdExTMHRMUzB0TFhObFoyY3lOMEZCUVVGQlIzRlpSRVZCUjBsaFRXMUJFZ1pOVlRVNE5qWWFDZ2kyQ3hBQUdnTkRUbGs0SFhENXFRRT0SAggAIgA&amp;hl=zh-CN&amp;curr=CNY</x:v>
      </x:c>
    </x:row>
    <x:row r="18" ht="42" customHeight="1">
      <x:c r="A18" s="85" t="n">
        <x:f>ROW()-7</x:f>
        <x:v>11</x:v>
      </x:c>
      <x:c r="B18" s="86" t="n">
        <x:v>46300</x:v>
      </x:c>
      <x:c r="C18" s="86" t="n">
        <x:v>46304</x:v>
      </x:c>
      <x:c r="D18" s="87" t="n">
        <x:v>4</x:v>
      </x:c>
      <x:c r="E18" s="88" t="str">
        <x:v>东航</x:v>
      </x:c>
      <x:c r="F18" s="88" t="str">
        <x:v>15:30</x:v>
      </x:c>
      <x:c r="G18" s="88" t="str">
        <x:v>16:55</x:v>
      </x:c>
      <x:c r="H18" s="88" t="str">
        <x:v>重庆江北国际机场</x:v>
      </x:c>
      <x:c r="I18" s="88" t="str">
        <x:v>昆明长水国际机场</x:v>
      </x:c>
      <x:c r="J18" s="88" t="n">
        <x:v>0</x:v>
      </x:c>
      <x:c r="K18" s="88" t="str">
        <x:v>—</x:v>
      </x:c>
      <x:c r="L18" s="88" t="str">
        <x:v>1 小时 25 分钟</x:v>
      </x:c>
      <x:c r="M18" s="89" t="n">
        <x:v>1462</x:v>
      </x:c>
      <x:c r="N18" s="89" t="n">
        <x:v>0</x:v>
      </x:c>
      <x:c r="O18" s="89" t="n">
        <x:f>M18+N18</x:f>
        <x:v>1462</x:v>
      </x:c>
      <x:c r="P18" s="88" t="str">
        <x:f>IF(O18&lt;5000,"是","否")</x:f>
        <x:v>是</x:v>
      </x:c>
      <x:c r="Q18" s="90" t="str">
        <x:v>国内经济舱通常含20kg；出票前须按实际票价等级复核</x:v>
      </x:c>
      <x:c r="R18" s="90" t="str">
        <x:v>该去程对应的最低可订返程组合；具体返程航班需打开来源链接确认</x:v>
      </x:c>
      <x:c r="S18" s="91" t="n">
        <x:v>46267.746032905095</x:v>
      </x:c>
      <x:c r="T18" s="92" t="str">
        <x:v>https://www.google.com/travel/flights?hl=zh-CN&amp;curr=CNY&amp;q=Flights%20from%20Chongqing%20to%20Kunming%20from%202026-10-05%20to%202026-10-09</x:v>
      </x:c>
      <x:c r="U18" s="136" t="n">
        <x:v>46304</x:v>
      </x:c>
      <x:c r="V18" s="90" t="str">
        <x:v>07:05</x:v>
      </x:c>
      <x:c r="W18" s="90" t="str">
        <x:v>昆明长水国际机场</x:v>
      </x:c>
      <x:c r="X18" s="137" t="n">
        <x:v>46304</x:v>
      </x:c>
      <x:c r="Y18" s="90" t="str">
        <x:v>08:35</x:v>
      </x:c>
      <x:c r="Z18" s="90" t="str">
        <x:v>重庆江北国际机场</x:v>
      </x:c>
      <x:c r="AA18" s="90" t="str">
        <x:v>川航</x:v>
      </x:c>
      <x:c r="AB18" s="90" t="n">
        <x:v>0</x:v>
      </x:c>
      <x:c r="AC18" s="90" t="str">
        <x:v>1 小时 30 分钟</x:v>
      </x:c>
      <x:c r="AD18" s="138"/>
      <x:c r="AE18" s="90" t="str">
        <x:v>当前返程列表无价格，采用排序第一条</x:v>
      </x:c>
      <x:c r="AF18" s="92" t="str">
        <x:v>https://www.google.com/travel/flights/search?tfs=CBwQAhpMEgoyMDI2LTEwLTA1IiAKA0NLRxIKMjAyNi0xMC0wNRoDS01HKgJNVTIENTg2NGoNCAISCS9tLzAxNzIzNnINCAISCS9tLzAxYzA2ZBoqEgoyMDI2LTEwLTA5ag0IAhIJL20vMDFjMDZkcg0IAhIJL20vMDE3MjM2QAFIAXABggELCP___________wGYAQE&amp;tfu=CmxDalJJUjJOcVVEZzBWMGRIYlVWQlJXNDBSbEZDUnkwdExTMHRMUzB0YzJWaVluVXpOVUZCUVVGQlIzRlpSRVZKVDNkMFdGZEJFZ1pOVlRVNE5qUWFDZ2kyQ3hBQUdnTkRUbGs0SEhENXFRRT0SAggAIgA&amp;hl=zh-CN&amp;curr=CNY</x:v>
      </x:c>
    </x:row>
    <x:row r="19" ht="42" customHeight="1">
      <x:c r="A19" s="85" t="n">
        <x:f>ROW()-7</x:f>
        <x:v>12</x:v>
      </x:c>
      <x:c r="B19" s="86" t="n">
        <x:v>46298</x:v>
      </x:c>
      <x:c r="C19" s="86" t="n">
        <x:v>46302</x:v>
      </x:c>
      <x:c r="D19" s="87" t="n">
        <x:v>4</x:v>
      </x:c>
      <x:c r="E19" s="88" t="str">
        <x:v>南航</x:v>
      </x:c>
      <x:c r="F19" s="88" t="str">
        <x:v>19:30</x:v>
      </x:c>
      <x:c r="G19" s="88" t="str">
        <x:v>21:00</x:v>
      </x:c>
      <x:c r="H19" s="88" t="str">
        <x:v>重庆江北国际机场</x:v>
      </x:c>
      <x:c r="I19" s="88" t="str">
        <x:v>昆明长水国际机场</x:v>
      </x:c>
      <x:c r="J19" s="88" t="n">
        <x:v>0</x:v>
      </x:c>
      <x:c r="K19" s="88" t="str">
        <x:v>—</x:v>
      </x:c>
      <x:c r="L19" s="88" t="str">
        <x:v>1 小时 30 分钟</x:v>
      </x:c>
      <x:c r="M19" s="89" t="n">
        <x:v>1478</x:v>
      </x:c>
      <x:c r="N19" s="89" t="n">
        <x:v>0</x:v>
      </x:c>
      <x:c r="O19" s="89" t="n">
        <x:f>M19+N19</x:f>
        <x:v>1478</x:v>
      </x:c>
      <x:c r="P19" s="88" t="str">
        <x:f>IF(O19&lt;5000,"是","否")</x:f>
        <x:v>是</x:v>
      </x:c>
      <x:c r="Q19" s="90" t="str">
        <x:v>国内经济舱通常含20kg；出票前须按实际票价等级复核</x:v>
      </x:c>
      <x:c r="R19" s="90" t="str">
        <x:v>该去程对应的最低可订返程组合；具体返程航班需打开来源链接确认</x:v>
      </x:c>
      <x:c r="S19" s="91" t="n">
        <x:v>46267.746032905095</x:v>
      </x:c>
      <x:c r="T19" s="92" t="str">
        <x:v>https://www.google.com/travel/flights?hl=zh-CN&amp;curr=CNY&amp;q=Flights%20from%20Chongqing%20to%20Kunming%20from%202026-10-03%20to%202026-10-07</x:v>
      </x:c>
      <x:c r="U19" s="136" t="n">
        <x:v>46302</x:v>
      </x:c>
      <x:c r="V19" s="90" t="str">
        <x:v>22:05</x:v>
      </x:c>
      <x:c r="W19" s="90" t="str">
        <x:v>昆明长水国际机场</x:v>
      </x:c>
      <x:c r="X19" s="137" t="n">
        <x:v>46302</x:v>
      </x:c>
      <x:c r="Y19" s="90" t="str">
        <x:v>23:50</x:v>
      </x:c>
      <x:c r="Z19" s="90" t="str">
        <x:v>重庆江北国际机场</x:v>
      </x:c>
      <x:c r="AA19" s="90" t="str">
        <x:v>重航</x:v>
      </x:c>
      <x:c r="AB19" s="90" t="n">
        <x:v>0</x:v>
      </x:c>
      <x:c r="AC19" s="90" t="str">
        <x:v>1 小时 45 分钟</x:v>
      </x:c>
      <x:c r="AD19" s="138"/>
      <x:c r="AE19" s="90" t="str">
        <x:v>当前返程列表无价格，采用排序第一条</x:v>
      </x:c>
      <x:c r="AF19" s="92" t="str">
        <x:v>https://www.google.com/travel/flights/search?tfs=CBwQAhpMEgoyMDI2LTEwLTAzIiAKA0NLRxIKMjAyNi0xMC0wMxoDS01HKgJPUTIEMjExOWoNCAISCS9tLzAxNzIzNnINCAISCS9tLzAxYzA2ZBoqEgoyMDI2LTEwLTA3ag0IAhIJL20vMDFjMDZkcg0IAhIJL20vMDE3MjM2QAFIAXABggELCP___________wGYAQE&amp;tfu=ClhDalJJVTFCd2FUaFNTbWhxVTBsQlJWWTBTSGRDUnkwdExTMHRMUzB0YzIxck1TMXVNVUZCUVVGQlIzRlpSRVZKUzJoZmFubEJFZ1pQVVRJeE1UazRIQT09EgIIACIA&amp;hl=zh-CN&amp;curr=CNY</x:v>
      </x:c>
    </x:row>
    <x:row r="20" ht="42" customHeight="1">
      <x:c r="A20" s="85" t="n">
        <x:f>ROW()-7</x:f>
        <x:v>13</x:v>
      </x:c>
      <x:c r="B20" s="86" t="n">
        <x:v>46298</x:v>
      </x:c>
      <x:c r="C20" s="86" t="n">
        <x:v>46302</x:v>
      </x:c>
      <x:c r="D20" s="87" t="n">
        <x:v>4</x:v>
      </x:c>
      <x:c r="E20" s="88" t="str">
        <x:v>华夏航空</x:v>
      </x:c>
      <x:c r="F20" s="88" t="str">
        <x:v>06:40</x:v>
      </x:c>
      <x:c r="G20" s="88" t="str">
        <x:v>08:20</x:v>
      </x:c>
      <x:c r="H20" s="88" t="str">
        <x:v>重庆江北国际机场</x:v>
      </x:c>
      <x:c r="I20" s="88" t="str">
        <x:v>昆明长水国际机场</x:v>
      </x:c>
      <x:c r="J20" s="88" t="n">
        <x:v>0</x:v>
      </x:c>
      <x:c r="K20" s="88" t="str">
        <x:v>—</x:v>
      </x:c>
      <x:c r="L20" s="88" t="str">
        <x:v>1 小时 40 分钟</x:v>
      </x:c>
      <x:c r="M20" s="89" t="n">
        <x:v>1566</x:v>
      </x:c>
      <x:c r="N20" s="89" t="n">
        <x:v>0</x:v>
      </x:c>
      <x:c r="O20" s="89" t="n">
        <x:f>M20+N20</x:f>
        <x:v>1566</x:v>
      </x:c>
      <x:c r="P20" s="88" t="str">
        <x:f>IF(O20&lt;5000,"是","否")</x:f>
        <x:v>是</x:v>
      </x:c>
      <x:c r="Q20" s="90" t="str">
        <x:v>国内经济舱通常含20kg；出票前须按实际票价等级复核</x:v>
      </x:c>
      <x:c r="R20" s="90" t="str">
        <x:v>该去程对应的最低可订返程组合；具体返程航班需打开来源链接确认</x:v>
      </x:c>
      <x:c r="S20" s="91" t="n">
        <x:v>46267.746032905095</x:v>
      </x:c>
      <x:c r="T20" s="92" t="str">
        <x:v>https://www.google.com/travel/flights?hl=zh-CN&amp;curr=CNY&amp;q=Flights%20from%20Chongqing%20to%20Kunming%20from%202026-10-03%20to%202026-10-07</x:v>
      </x:c>
      <x:c r="U20" s="136" t="n">
        <x:v>46302</x:v>
      </x:c>
      <x:c r="V20" s="90" t="str">
        <x:v>07:05</x:v>
      </x:c>
      <x:c r="W20" s="90" t="str">
        <x:v>昆明长水国际机场</x:v>
      </x:c>
      <x:c r="X20" s="137" t="n">
        <x:v>46302</x:v>
      </x:c>
      <x:c r="Y20" s="90" t="str">
        <x:v>08:35</x:v>
      </x:c>
      <x:c r="Z20" s="90" t="str">
        <x:v>重庆江北国际机场</x:v>
      </x:c>
      <x:c r="AA20" s="90" t="str">
        <x:v>川航</x:v>
      </x:c>
      <x:c r="AB20" s="90" t="n">
        <x:v>0</x:v>
      </x:c>
      <x:c r="AC20" s="90" t="str">
        <x:v>1 小时 30 分钟</x:v>
      </x:c>
      <x:c r="AD20" s="138"/>
      <x:c r="AE20" s="90" t="str">
        <x:v>当前返程列表无价格，采用排序第一条</x:v>
      </x:c>
      <x:c r="AF20" s="92" t="str">
        <x:v>https://www.google.com/travel/flights/search?tfs=CBwQAhpMEgoyMDI2LTEwLTAzIiAKA0NLRxIKMjAyNi0xMC0wMxoDS01HKgJNVTIENTQ0OWoNCAISCS9tLzAxNzIzNnINCAISCS9tLzAxYzA2ZBoqEgoyMDI2LTEwLTA3ag0IAhIJL20vMDFjMDZkcg0IAhIJL20vMDE3MjM2QAFIAXABggELCP___________wGYAQE&amp;tfu=CmxDalJJU0dwUmRETldNWGhSUVd0QlJsZFpPR2RDUnkwdExTMHRMUzB0TFhOdFltUjFPVUZCUVVGQlIzRlpSRVZuVDFJeWEyOUJFZ1pOVlRVME5Ea2FDZ2o0RkJBQUdnTkRUbGs0SFhERXR3ST0SAggAIgA&amp;hl=zh-CN&amp;curr=CNY</x:v>
      </x:c>
    </x:row>
    <x:row r="21" ht="42" customHeight="1">
      <x:c r="A21" s="85" t="n">
        <x:f>ROW()-7</x:f>
        <x:v>14</x:v>
      </x:c>
      <x:c r="B21" s="86" t="n">
        <x:v>46296</x:v>
      </x:c>
      <x:c r="C21" s="86" t="n">
        <x:v>46303</x:v>
      </x:c>
      <x:c r="D21" s="87" t="n">
        <x:v>7</x:v>
      </x:c>
      <x:c r="E21" s="88" t="str">
        <x:v>东航</x:v>
      </x:c>
      <x:c r="F21" s="88" t="str">
        <x:v>06:40</x:v>
      </x:c>
      <x:c r="G21" s="88" t="str">
        <x:v>08:20</x:v>
      </x:c>
      <x:c r="H21" s="88" t="str">
        <x:v>重庆江北国际机场</x:v>
      </x:c>
      <x:c r="I21" s="88" t="str">
        <x:v>昆明长水国际机场</x:v>
      </x:c>
      <x:c r="J21" s="88" t="n">
        <x:v>0</x:v>
      </x:c>
      <x:c r="K21" s="88" t="str">
        <x:v>—</x:v>
      </x:c>
      <x:c r="L21" s="88" t="str">
        <x:v>1 小时 40 分钟</x:v>
      </x:c>
      <x:c r="M21" s="89" t="n">
        <x:v>1615</x:v>
      </x:c>
      <x:c r="N21" s="89" t="n">
        <x:v>0</x:v>
      </x:c>
      <x:c r="O21" s="89" t="n">
        <x:f>M21+N21</x:f>
        <x:v>1615</x:v>
      </x:c>
      <x:c r="P21" s="88" t="str">
        <x:f>IF(O21&lt;5000,"是","否")</x:f>
        <x:v>是</x:v>
      </x:c>
      <x:c r="Q21" s="90" t="str">
        <x:v>国内经济舱通常含20kg；出票前须按实际票价等级复核</x:v>
      </x:c>
      <x:c r="R21" s="90" t="str">
        <x:v>该去程对应的最低可订返程组合；具体返程航班需打开来源链接确认</x:v>
      </x:c>
      <x:c r="S21" s="91" t="n">
        <x:v>46267.746032905095</x:v>
      </x:c>
      <x:c r="T21" s="92" t="str">
        <x:v>https://www.google.com/travel/flights?hl=zh-CN&amp;curr=CNY&amp;q=Flights%20from%20Chongqing%20to%20Kunming%20from%202026-10-01%20to%202026-10-08</x:v>
      </x:c>
      <x:c r="U21" s="136" t="n">
        <x:v>46303</x:v>
      </x:c>
      <x:c r="V21" s="90" t="str">
        <x:v>06:50</x:v>
      </x:c>
      <x:c r="W21" s="90" t="str">
        <x:v>昆明长水国际机场</x:v>
      </x:c>
      <x:c r="X21" s="137" t="n">
        <x:v>46303</x:v>
      </x:c>
      <x:c r="Y21" s="90" t="str">
        <x:v>08:25</x:v>
      </x:c>
      <x:c r="Z21" s="90" t="str">
        <x:v>重庆江北国际机场</x:v>
      </x:c>
      <x:c r="AA21" s="90" t="str">
        <x:v>川航</x:v>
      </x:c>
      <x:c r="AB21" s="90" t="n">
        <x:v>0</x:v>
      </x:c>
      <x:c r="AC21" s="90" t="str">
        <x:v>1 小时 35 分钟</x:v>
      </x:c>
      <x:c r="AD21" s="138"/>
      <x:c r="AE21" s="90" t="str">
        <x:v>当前返程列表无价格，采用排序第一条</x:v>
      </x:c>
      <x:c r="AF21" s="92" t="str">
        <x:v>https://www.google.com/travel/flights/search?tfs=CBwQAhpMEgoyMDI2LTEwLTAxIiAKA0NLRxIKMjAyNi0xMC0wMRoDS01HKgJNVTIENTQ0OWoNCAISCS9tLzAxNzIzNnINCAISCS9tLzAxYzA2ZBoqEgoyMDI2LTEwLTA4ag0IAhIJL20vMDFjMDZkcg0IAhIJL20vMDE3MjM2QAFIAXABggELCP___________wGYAQE&amp;tfu=ClhDalJJTjI1cVh5MTFabXBWVjI5QlJXdGpNR2RDUnkwdExTMHRMWE5sZEc0eU5pMXVNVUZCUVVGQlIzRlpSRVZ6VDFaSWVsRkJFZ1pOVlRVME5EazRIQT09EgYIACACKAEiAA&amp;hl=zh-CN&amp;curr=CNY</x:v>
      </x:c>
    </x:row>
    <x:row r="22" ht="42" customHeight="1">
      <x:c r="A22" s="85" t="n">
        <x:f>ROW()-7</x:f>
        <x:v>15</x:v>
      </x:c>
      <x:c r="B22" s="86" t="n">
        <x:v>46299</x:v>
      </x:c>
      <x:c r="C22" s="86" t="n">
        <x:v>46303</x:v>
      </x:c>
      <x:c r="D22" s="87" t="n">
        <x:v>4</x:v>
      </x:c>
      <x:c r="E22" s="88" t="str">
        <x:v>华夏航空</x:v>
      </x:c>
      <x:c r="F22" s="88" t="str">
        <x:v>10:50</x:v>
      </x:c>
      <x:c r="G22" s="88" t="str">
        <x:v>12:25</x:v>
      </x:c>
      <x:c r="H22" s="88" t="str">
        <x:v>重庆江北国际机场</x:v>
      </x:c>
      <x:c r="I22" s="88" t="str">
        <x:v>昆明长水国际机场</x:v>
      </x:c>
      <x:c r="J22" s="88" t="n">
        <x:v>0</x:v>
      </x:c>
      <x:c r="K22" s="88" t="str">
        <x:v>—</x:v>
      </x:c>
      <x:c r="L22" s="88" t="str">
        <x:v>1 小时 35 分钟</x:v>
      </x:c>
      <x:c r="M22" s="89" t="n">
        <x:v>1615</x:v>
      </x:c>
      <x:c r="N22" s="89" t="n">
        <x:v>0</x:v>
      </x:c>
      <x:c r="O22" s="89" t="n">
        <x:f>M22+N22</x:f>
        <x:v>1615</x:v>
      </x:c>
      <x:c r="P22" s="88" t="str">
        <x:f>IF(O22&lt;5000,"是","否")</x:f>
        <x:v>是</x:v>
      </x:c>
      <x:c r="Q22" s="90" t="str">
        <x:v>国内经济舱通常含20kg；出票前须按实际票价等级复核</x:v>
      </x:c>
      <x:c r="R22" s="90" t="str">
        <x:v>该去程对应的最低可订返程组合；具体返程航班需打开来源链接确认</x:v>
      </x:c>
      <x:c r="S22" s="91" t="n">
        <x:v>46267.746032905095</x:v>
      </x:c>
      <x:c r="T22" s="92" t="str">
        <x:v>https://www.google.com/travel/flights?hl=zh-CN&amp;curr=CNY&amp;q=Flights%20from%20Chongqing%20to%20Kunming%20from%202026-10-04%20to%202026-10-08</x:v>
      </x:c>
      <x:c r="U22" s="136" t="n">
        <x:v>46303</x:v>
      </x:c>
      <x:c r="V22" s="90" t="str">
        <x:v>12:30</x:v>
      </x:c>
      <x:c r="W22" s="90" t="str">
        <x:v>昆明长水国际机场</x:v>
      </x:c>
      <x:c r="X22" s="137" t="n">
        <x:v>46303</x:v>
      </x:c>
      <x:c r="Y22" s="90" t="str">
        <x:v>14:10</x:v>
      </x:c>
      <x:c r="Z22" s="90" t="str">
        <x:v>重庆江北国际机场</x:v>
      </x:c>
      <x:c r="AA22" s="90" t="str">
        <x:v>东航</x:v>
      </x:c>
      <x:c r="AB22" s="90" t="n">
        <x:v>0</x:v>
      </x:c>
      <x:c r="AC22" s="90" t="str">
        <x:v>1 小时 40 分钟</x:v>
      </x:c>
      <x:c r="AD22" s="138" t="n">
        <x:v>1615</x:v>
      </x:c>
      <x:c r="AE22" s="90" t="str">
        <x:v>匹配原始往返起价</x:v>
      </x:c>
      <x:c r="AF22" s="92" t="str">
        <x:v>https://www.google.com/travel/flights/search?tfs=CBwQAhpMEgoyMDI2LTEwLTA0IiAKA0NLRxIKMjAyNi0xMC0wNBoDS01HKgJNVTIENTg2NmoNCAISCS9tLzAxNzIzNnINCAISCS9tLzAxYzA2ZBoqEgoyMDI2LTEwLTA4ag0IAhIJL20vMDFjMDZkcg0IAhIJL20vMDE3MjM2QAFIAXABggELCP___________wGYAQE&amp;tfu=CmxDalJJZEU5VWJEQndRbVpTWVhkQlIySjVMV2RDUnkwdExTMHRMUzB0YzJWaVozSXpNMEZCUVVGQlIzRlpSRVZuVFRkblFtRkJFZ1pOVlRVNE5qWWFDZ2kyQ3hBQUdnTkRUbGs0SFhENXFRRT0SAggAIgA&amp;hl=zh-CN&amp;curr=CNY</x:v>
      </x:c>
    </x:row>
    <x:row r="23" ht="42" customHeight="1">
      <x:c r="A23" s="85" t="n">
        <x:f>ROW()-7</x:f>
        <x:v>16</x:v>
      </x:c>
      <x:c r="B23" s="86" t="n">
        <x:v>46298</x:v>
      </x:c>
      <x:c r="C23" s="86" t="n">
        <x:v>46302</x:v>
      </x:c>
      <x:c r="D23" s="87" t="n">
        <x:v>4</x:v>
      </x:c>
      <x:c r="E23" s="88" t="str">
        <x:v>华夏航空</x:v>
      </x:c>
      <x:c r="F23" s="88" t="str">
        <x:v>10:50</x:v>
      </x:c>
      <x:c r="G23" s="88" t="str">
        <x:v>12:25</x:v>
      </x:c>
      <x:c r="H23" s="88" t="str">
        <x:v>重庆江北国际机场</x:v>
      </x:c>
      <x:c r="I23" s="88" t="str">
        <x:v>昆明长水国际机场</x:v>
      </x:c>
      <x:c r="J23" s="88" t="n">
        <x:v>0</x:v>
      </x:c>
      <x:c r="K23" s="88" t="str">
        <x:v>—</x:v>
      </x:c>
      <x:c r="L23" s="88" t="str">
        <x:v>1 小时 35 分钟</x:v>
      </x:c>
      <x:c r="M23" s="89" t="n">
        <x:v>1616</x:v>
      </x:c>
      <x:c r="N23" s="89" t="n">
        <x:v>0</x:v>
      </x:c>
      <x:c r="O23" s="89" t="n">
        <x:f>M23+N23</x:f>
        <x:v>1616</x:v>
      </x:c>
      <x:c r="P23" s="88" t="str">
        <x:f>IF(O23&lt;5000,"是","否")</x:f>
        <x:v>是</x:v>
      </x:c>
      <x:c r="Q23" s="90" t="str">
        <x:v>国内经济舱通常含20kg；出票前须按实际票价等级复核</x:v>
      </x:c>
      <x:c r="R23" s="90" t="str">
        <x:v>该去程对应的最低可订返程组合；具体返程航班需打开来源链接确认</x:v>
      </x:c>
      <x:c r="S23" s="91" t="n">
        <x:v>46267.746032905095</x:v>
      </x:c>
      <x:c r="T23" s="92" t="str">
        <x:v>https://www.google.com/travel/flights?hl=zh-CN&amp;curr=CNY&amp;q=Flights%20from%20Chongqing%20to%20Kunming%20from%202026-10-03%20to%202026-10-07</x:v>
      </x:c>
      <x:c r="U23" s="136" t="n">
        <x:v>46302</x:v>
      </x:c>
      <x:c r="V23" s="90" t="str">
        <x:v>07:05</x:v>
      </x:c>
      <x:c r="W23" s="90" t="str">
        <x:v>昆明长水国际机场</x:v>
      </x:c>
      <x:c r="X23" s="137" t="n">
        <x:v>46302</x:v>
      </x:c>
      <x:c r="Y23" s="90" t="str">
        <x:v>08:35</x:v>
      </x:c>
      <x:c r="Z23" s="90" t="str">
        <x:v>重庆江北国际机场</x:v>
      </x:c>
      <x:c r="AA23" s="90" t="str">
        <x:v>川航</x:v>
      </x:c>
      <x:c r="AB23" s="90" t="n">
        <x:v>0</x:v>
      </x:c>
      <x:c r="AC23" s="90" t="str">
        <x:v>1 小时 30 分钟</x:v>
      </x:c>
      <x:c r="AD23" s="138"/>
      <x:c r="AE23" s="90" t="str">
        <x:v>当前返程列表无价格，采用排序第一条</x:v>
      </x:c>
      <x:c r="AF23" s="92" t="str">
        <x:v>https://www.google.com/travel/flights/search?tfs=CBwQAhpMEgoyMDI2LTEwLTAzIiAKA0NLRxIKMjAyNi0xMC0wMxoDS01HKgJNVTIENTQ0OWoNCAISCS9tLzAxNzIzNnINCAISCS9tLzAxYzA2ZBoqEgoyMDI2LTEwLTA3ag0IAhIJL20vMDFjMDZkcg0IAhIJL20vMDE3MjM2QAFIAXABggELCP___________wGYAQE&amp;tfu=CmxDalJJUlROeFMwUnNXWFJRZEUxQlJWWkVVVUZDUnkwdExTMHRMWE50Y0hReE5DMXVNVUZCUVVGQlIzRlpSRVZ6VFU1NlRqWkJFZ1pOVlRVME5Ea2FDZ2o0RkJBQUdnTkRUbGs0SEhERXR3ST0SAggAIgA&amp;hl=zh-CN&amp;curr=CNY</x:v>
      </x:c>
    </x:row>
    <x:row r="24" ht="42" customHeight="1">
      <x:c r="A24" s="85" t="n">
        <x:f>ROW()-7</x:f>
        <x:v>17</x:v>
      </x:c>
      <x:c r="B24" s="86" t="n">
        <x:v>46297</x:v>
      </x:c>
      <x:c r="C24" s="86" t="n">
        <x:v>46304</x:v>
      </x:c>
      <x:c r="D24" s="87" t="n">
        <x:v>7</x:v>
      </x:c>
      <x:c r="E24" s="88" t="str">
        <x:v>东航</x:v>
      </x:c>
      <x:c r="F24" s="88" t="str">
        <x:v>06:40</x:v>
      </x:c>
      <x:c r="G24" s="88" t="str">
        <x:v>08:20</x:v>
      </x:c>
      <x:c r="H24" s="88" t="str">
        <x:v>重庆江北国际机场</x:v>
      </x:c>
      <x:c r="I24" s="88" t="str">
        <x:v>昆明长水国际机场</x:v>
      </x:c>
      <x:c r="J24" s="88" t="n">
        <x:v>0</x:v>
      </x:c>
      <x:c r="K24" s="88" t="str">
        <x:v>—</x:v>
      </x:c>
      <x:c r="L24" s="88" t="str">
        <x:v>1 小时 40 分钟</x:v>
      </x:c>
      <x:c r="M24" s="89" t="n">
        <x:v>1662</x:v>
      </x:c>
      <x:c r="N24" s="89" t="n">
        <x:v>0</x:v>
      </x:c>
      <x:c r="O24" s="89" t="n">
        <x:f>M24+N24</x:f>
        <x:v>1662</x:v>
      </x:c>
      <x:c r="P24" s="88" t="str">
        <x:f>IF(O24&lt;5000,"是","否")</x:f>
        <x:v>是</x:v>
      </x:c>
      <x:c r="Q24" s="90" t="str">
        <x:v>国内经济舱通常含20kg；出票前须按实际票价等级复核</x:v>
      </x:c>
      <x:c r="R24" s="90" t="str">
        <x:v>该去程对应的最低可订返程组合；具体返程航班需打开来源链接确认</x:v>
      </x:c>
      <x:c r="S24" s="91" t="n">
        <x:v>46267.746032905095</x:v>
      </x:c>
      <x:c r="T24" s="92" t="str">
        <x:v>https://www.google.com/travel/flights?hl=zh-CN&amp;curr=CNY&amp;q=Flights%20from%20Chongqing%20to%20Kunming%20from%202026-10-02%20to%202026-10-09</x:v>
      </x:c>
      <x:c r="U24" s="136" t="n">
        <x:v>46304</x:v>
      </x:c>
      <x:c r="V24" s="90" t="str">
        <x:v>12:30</x:v>
      </x:c>
      <x:c r="W24" s="90" t="str">
        <x:v>昆明长水国际机场</x:v>
      </x:c>
      <x:c r="X24" s="137" t="n">
        <x:v>46304</x:v>
      </x:c>
      <x:c r="Y24" s="90" t="str">
        <x:v>14:10</x:v>
      </x:c>
      <x:c r="Z24" s="90" t="str">
        <x:v>重庆江北国际机场</x:v>
      </x:c>
      <x:c r="AA24" s="90" t="str">
        <x:v>东航</x:v>
      </x:c>
      <x:c r="AB24" s="90" t="n">
        <x:v>0</x:v>
      </x:c>
      <x:c r="AC24" s="90" t="str">
        <x:v>1 小时 40 分钟</x:v>
      </x:c>
      <x:c r="AD24" s="138" t="n">
        <x:v>1662</x:v>
      </x:c>
      <x:c r="AE24" s="90" t="str">
        <x:v>匹配原始往返起价</x:v>
      </x:c>
      <x:c r="AF24" s="92" t="str">
        <x:v>https://www.google.com/travel/flights/search?tfs=CBwQAhpMEgoyMDI2LTEwLTAyIiAKA0NLRxIKMjAyNi0xMC0wMhoDS01HKgJNVTIENTQ0OWoNCAISCS9tLzAxNzIzNnINCAISCS9tLzAxYzA2ZBoqEgoyMDI2LTEwLTA5ag0IAhIJL20vMDFjMDZkcg0IAhIJL20vMDE3MjM2QAFIAXABggELCP___________wGYAQE&amp;tfu=CmxDalJJYlhCeE56bGlkak5LY1dkQlJETnRiMUZDUnkwdExTMHRMUzF6YlhWNE9DMXVNa0ZCUVVGQlIzRlpSRVpSVFMxTVlVdEJFZ1pOVlRVME5Ea2FDZ2orREJBQUdnTkRUbGs0SFhDWndRRT0SAggAIgA&amp;hl=zh-CN&amp;curr=CNY</x:v>
      </x:c>
    </x:row>
    <x:row r="25" ht="42" customHeight="1">
      <x:c r="A25" s="85" t="n">
        <x:f>ROW()-7</x:f>
        <x:v>18</x:v>
      </x:c>
      <x:c r="B25" s="86" t="n">
        <x:v>46297</x:v>
      </x:c>
      <x:c r="C25" s="86" t="n">
        <x:v>46302</x:v>
      </x:c>
      <x:c r="D25" s="87" t="n">
        <x:v>5</x:v>
      </x:c>
      <x:c r="E25" s="88" t="str">
        <x:v>东航</x:v>
      </x:c>
      <x:c r="F25" s="88" t="str">
        <x:v>10:50</x:v>
      </x:c>
      <x:c r="G25" s="88" t="str">
        <x:v>12:25</x:v>
      </x:c>
      <x:c r="H25" s="88" t="str">
        <x:v>重庆江北国际机场</x:v>
      </x:c>
      <x:c r="I25" s="88" t="str">
        <x:v>昆明长水国际机场</x:v>
      </x:c>
      <x:c r="J25" s="88" t="n">
        <x:v>0</x:v>
      </x:c>
      <x:c r="K25" s="88" t="str">
        <x:v>—</x:v>
      </x:c>
      <x:c r="L25" s="88" t="str">
        <x:v>1 小时 35 分钟</x:v>
      </x:c>
      <x:c r="M25" s="89" t="n">
        <x:v>1683</x:v>
      </x:c>
      <x:c r="N25" s="89" t="n">
        <x:v>0</x:v>
      </x:c>
      <x:c r="O25" s="89" t="n">
        <x:f>M25+N25</x:f>
        <x:v>1683</x:v>
      </x:c>
      <x:c r="P25" s="88" t="str">
        <x:f>IF(O25&lt;5000,"是","否")</x:f>
        <x:v>是</x:v>
      </x:c>
      <x:c r="Q25" s="90" t="str">
        <x:v>国内经济舱通常含20kg；出票前须按实际票价等级复核</x:v>
      </x:c>
      <x:c r="R25" s="90" t="str">
        <x:v>该去程对应的最低可订返程组合；具体返程航班需打开来源链接确认</x:v>
      </x:c>
      <x:c r="S25" s="91" t="n">
        <x:v>46267.746032905095</x:v>
      </x:c>
      <x:c r="T25" s="92" t="str">
        <x:v>https://www.google.com/travel/flights?hl=zh-CN&amp;curr=CNY&amp;q=Flights%20from%20Chongqing%20to%20Kunming%20from%202026-10-02%20to%202026-10-07</x:v>
      </x:c>
      <x:c r="U25" s="136" t="n">
        <x:v>46302</x:v>
      </x:c>
      <x:c r="V25" s="90" t="str">
        <x:v>07:05</x:v>
      </x:c>
      <x:c r="W25" s="90" t="str">
        <x:v>昆明长水国际机场</x:v>
      </x:c>
      <x:c r="X25" s="137" t="n">
        <x:v>46302</x:v>
      </x:c>
      <x:c r="Y25" s="90" t="str">
        <x:v>08:35</x:v>
      </x:c>
      <x:c r="Z25" s="90" t="str">
        <x:v>重庆江北国际机场</x:v>
      </x:c>
      <x:c r="AA25" s="90" t="str">
        <x:v>川航</x:v>
      </x:c>
      <x:c r="AB25" s="90" t="n">
        <x:v>0</x:v>
      </x:c>
      <x:c r="AC25" s="90" t="str">
        <x:v>1 小时 30 分钟</x:v>
      </x:c>
      <x:c r="AD25" s="138"/>
      <x:c r="AE25" s="90" t="str">
        <x:v>当前返程列表无价格，采用排序第一条</x:v>
      </x:c>
      <x:c r="AF25" s="92" t="str">
        <x:v>https://www.google.com/travel/flights/search?tfs=CBwQAhpMEgoyMDI2LTEwLTAyIiAKA0NLRxIKMjAyNi0xMC0wMhoDS01HKgJNVTIENTg2NmoNCAISCS9tLzAxNzIzNnINCAISCS9tLzAxYzA2ZBoqEgoyMDI2LTEwLTA3ag0IAhIJL20vMDFjMDZkcg0IAhIJL20vMDE3MjM2QAFIAXABggELCP___________wGYAQE&amp;tfu=ClhDalJJUldWVWVrOVRPSFJGVkRCQlJXSk5ZM2RDUnkwdExTMHRMUzB0TFhObFoyY3lOMEZCUVVGQlIzRlpSVWhyVDNOcVJWbEJFZ1pOVlRVNE5qWTRIQT09EgYIACACKAEiAA&amp;hl=zh-CN&amp;curr=CNY</x:v>
      </x:c>
    </x:row>
    <x:row r="26" ht="42" customHeight="1">
      <x:c r="A26" s="85" t="n">
        <x:f>ROW()-7</x:f>
        <x:v>19</x:v>
      </x:c>
      <x:c r="B26" s="86" t="n">
        <x:v>46297</x:v>
      </x:c>
      <x:c r="C26" s="86" t="n">
        <x:v>46302</x:v>
      </x:c>
      <x:c r="D26" s="87" t="n">
        <x:v>5</x:v>
      </x:c>
      <x:c r="E26" s="88" t="str">
        <x:v>川航</x:v>
      </x:c>
      <x:c r="F26" s="88" t="str">
        <x:v>15:30</x:v>
      </x:c>
      <x:c r="G26" s="88" t="str">
        <x:v>16:55</x:v>
      </x:c>
      <x:c r="H26" s="88" t="str">
        <x:v>重庆江北国际机场</x:v>
      </x:c>
      <x:c r="I26" s="88" t="str">
        <x:v>昆明长水国际机场</x:v>
      </x:c>
      <x:c r="J26" s="88" t="n">
        <x:v>0</x:v>
      </x:c>
      <x:c r="K26" s="88" t="str">
        <x:v>—</x:v>
      </x:c>
      <x:c r="L26" s="88" t="str">
        <x:v>1 小时 25 分钟</x:v>
      </x:c>
      <x:c r="M26" s="89" t="n">
        <x:v>1689</x:v>
      </x:c>
      <x:c r="N26" s="89" t="n">
        <x:v>0</x:v>
      </x:c>
      <x:c r="O26" s="89" t="n">
        <x:f>M26+N26</x:f>
        <x:v>1689</x:v>
      </x:c>
      <x:c r="P26" s="88" t="str">
        <x:f>IF(O26&lt;5000,"是","否")</x:f>
        <x:v>是</x:v>
      </x:c>
      <x:c r="Q26" s="90" t="str">
        <x:v>国内经济舱通常含20kg；出票前须按实际票价等级复核</x:v>
      </x:c>
      <x:c r="R26" s="90" t="str">
        <x:v>该去程对应的最低可订返程组合；具体返程航班需打开来源链接确认</x:v>
      </x:c>
      <x:c r="S26" s="91" t="n">
        <x:v>46267.746032905095</x:v>
      </x:c>
      <x:c r="T26" s="92" t="str">
        <x:v>https://www.google.com/travel/flights?hl=zh-CN&amp;curr=CNY&amp;q=Flights%20from%20Chongqing%20to%20Kunming%20from%202026-10-02%20to%202026-10-07</x:v>
      </x:c>
      <x:c r="U26" s="136" t="n">
        <x:v>46302</x:v>
      </x:c>
      <x:c r="V26" s="90" t="str">
        <x:v>07:05</x:v>
      </x:c>
      <x:c r="W26" s="90" t="str">
        <x:v>昆明长水国际机场</x:v>
      </x:c>
      <x:c r="X26" s="137" t="n">
        <x:v>46302</x:v>
      </x:c>
      <x:c r="Y26" s="90" t="str">
        <x:v>08:35</x:v>
      </x:c>
      <x:c r="Z26" s="90" t="str">
        <x:v>重庆江北国际机场</x:v>
      </x:c>
      <x:c r="AA26" s="90" t="str">
        <x:v>川航</x:v>
      </x:c>
      <x:c r="AB26" s="90" t="n">
        <x:v>0</x:v>
      </x:c>
      <x:c r="AC26" s="90" t="str">
        <x:v>1 小时 30 分钟</x:v>
      </x:c>
      <x:c r="AD26" s="138"/>
      <x:c r="AE26" s="90" t="str">
        <x:v>当前返程列表无价格，采用排序第一条</x:v>
      </x:c>
      <x:c r="AF26" s="92" t="str">
        <x:v>https://www.google.com/travel/flights/search?tfs=CBwQAhpMEgoyMDI2LTEwLTAyIiAKA0NLRxIKMjAyNi0xMC0wMhoDS01HKgIzVTIEODI4NGoNCAISCS9tLzAxNzIzNnINCAISCS9tLzAxYzA2ZBoqEgoyMDI2LTEwLTA3ag0IAhIJL20vMDFjMDZkcg0IAhIJL20vMDE3MjM2QAFIAXABggELCP___________wGYAQE&amp;tfu=CmxDalJJV0Raek9XaExUWEpYVGtsQlJXMU1TbmRDUnkwdExTMHRMUzF6WlhSdE9DMXVNVUZCUVVGQlIzRlpSRVpuUWtSUlRYZEJFZ1l6VlRneU9EUWFDZ2lZRFJBQUdnTkRUbGs0SEhDY3hBRT0SBggAIAIoASIDCgEw&amp;hl=zh-CN&amp;curr=CNY</x:v>
      </x:c>
    </x:row>
    <x:row r="27" ht="42" customHeight="1">
      <x:c r="A27" s="85" t="n">
        <x:f>ROW()-7</x:f>
        <x:v>20</x:v>
      </x:c>
      <x:c r="B27" s="86" t="n">
        <x:v>46297</x:v>
      </x:c>
      <x:c r="C27" s="86" t="n">
        <x:v>46303</x:v>
      </x:c>
      <x:c r="D27" s="87" t="n">
        <x:v>6</x:v>
      </x:c>
      <x:c r="E27" s="88" t="str">
        <x:v>川航</x:v>
      </x:c>
      <x:c r="F27" s="88" t="str">
        <x:v>15:30</x:v>
      </x:c>
      <x:c r="G27" s="88" t="str">
        <x:v>16:55</x:v>
      </x:c>
      <x:c r="H27" s="88" t="str">
        <x:v>重庆江北国际机场</x:v>
      </x:c>
      <x:c r="I27" s="88" t="str">
        <x:v>昆明长水国际机场</x:v>
      </x:c>
      <x:c r="J27" s="88" t="n">
        <x:v>0</x:v>
      </x:c>
      <x:c r="K27" s="88" t="str">
        <x:v>—</x:v>
      </x:c>
      <x:c r="L27" s="88" t="str">
        <x:v>1 小时 25 分钟</x:v>
      </x:c>
      <x:c r="M27" s="89" t="n">
        <x:v>1799</x:v>
      </x:c>
      <x:c r="N27" s="89" t="n">
        <x:v>0</x:v>
      </x:c>
      <x:c r="O27" s="89" t="n">
        <x:f>M27+N27</x:f>
        <x:v>1799</x:v>
      </x:c>
      <x:c r="P27" s="88" t="str">
        <x:f>IF(O27&lt;5000,"是","否")</x:f>
        <x:v>是</x:v>
      </x:c>
      <x:c r="Q27" s="90" t="str">
        <x:v>国内经济舱通常含20kg；出票前须按实际票价等级复核</x:v>
      </x:c>
      <x:c r="R27" s="90" t="str">
        <x:v>该去程对应的最低可订返程组合；具体返程航班需打开来源链接确认</x:v>
      </x:c>
      <x:c r="S27" s="91" t="n">
        <x:v>46267.746032905095</x:v>
      </x:c>
      <x:c r="T27" s="92" t="str">
        <x:v>https://www.google.com/travel/flights?hl=zh-CN&amp;curr=CNY&amp;q=Flights%20from%20Chongqing%20to%20Kunming%20from%202026-10-02%20to%202026-10-08</x:v>
      </x:c>
      <x:c r="U27" s="136" t="n">
        <x:v>46303</x:v>
      </x:c>
      <x:c r="V27" s="90" t="str">
        <x:v>06:50</x:v>
      </x:c>
      <x:c r="W27" s="90" t="str">
        <x:v>昆明长水国际机场</x:v>
      </x:c>
      <x:c r="X27" s="137" t="n">
        <x:v>46303</x:v>
      </x:c>
      <x:c r="Y27" s="90" t="str">
        <x:v>08:25</x:v>
      </x:c>
      <x:c r="Z27" s="90" t="str">
        <x:v>重庆江北国际机场</x:v>
      </x:c>
      <x:c r="AA27" s="90" t="str">
        <x:v>川航</x:v>
      </x:c>
      <x:c r="AB27" s="90" t="n">
        <x:v>0</x:v>
      </x:c>
      <x:c r="AC27" s="90" t="str">
        <x:v>1 小时 35 分钟</x:v>
      </x:c>
      <x:c r="AD27" s="138"/>
      <x:c r="AE27" s="90" t="str">
        <x:v>当前返程列表无价格，采用排序第一条</x:v>
      </x:c>
      <x:c r="AF27" s="92" t="str">
        <x:v>https://www.google.com/travel/flights/search?tfs=CBwQAhpMEgoyMDI2LTEwLTAyIiAKA0NLRxIKMjAyNi0xMC0wMhoDS01HKgIzVTIEODI4NGoNCAISCS9tLzAxNzIzNnINCAISCS9tLzAxYzA2ZBoqEgoyMDI2LTEwLTA4ag0IAhIJL20vMDFjMDZkcg0IAhIJL20vMDE3MjM2QAFIAXABggELCP___________wGYAQE&amp;tfu=ClhDalJJUlROeFMwUnNXWFJRZEUxQlJXSlNZVkZDUnkwdExTMHRMWE50Y0hReE5DMXVNVUZCUVVGQlIzRlpSVWhyU1RsR2RrRkJFZ1l6VlRneU9EUTRIQT09EgYIACACKAEiAwoBMA&amp;hl=zh-CN&amp;curr=CNY</x:v>
      </x:c>
    </x:row>
    <x:row r="28" ht="42" customHeight="1">
      <x:c r="A28" s="85" t="n">
        <x:f>ROW()-7</x:f>
        <x:v>21</x:v>
      </x:c>
      <x:c r="B28" s="86" t="n">
        <x:v>46298</x:v>
      </x:c>
      <x:c r="C28" s="86" t="n">
        <x:v>46303</x:v>
      </x:c>
      <x:c r="D28" s="87" t="n">
        <x:v>5</x:v>
      </x:c>
      <x:c r="E28" s="88" t="str">
        <x:v>川航</x:v>
      </x:c>
      <x:c r="F28" s="88" t="str">
        <x:v>15:30</x:v>
      </x:c>
      <x:c r="G28" s="88" t="str">
        <x:v>16:55</x:v>
      </x:c>
      <x:c r="H28" s="88" t="str">
        <x:v>重庆江北国际机场</x:v>
      </x:c>
      <x:c r="I28" s="88" t="str">
        <x:v>昆明长水国际机场</x:v>
      </x:c>
      <x:c r="J28" s="88" t="n">
        <x:v>0</x:v>
      </x:c>
      <x:c r="K28" s="88" t="str">
        <x:v>—</x:v>
      </x:c>
      <x:c r="L28" s="88" t="str">
        <x:v>1 小时 25 分钟</x:v>
      </x:c>
      <x:c r="M28" s="89" t="n">
        <x:v>1799</x:v>
      </x:c>
      <x:c r="N28" s="89" t="n">
        <x:v>0</x:v>
      </x:c>
      <x:c r="O28" s="89" t="n">
        <x:f>M28+N28</x:f>
        <x:v>1799</x:v>
      </x:c>
      <x:c r="P28" s="88" t="str">
        <x:f>IF(O28&lt;5000,"是","否")</x:f>
        <x:v>是</x:v>
      </x:c>
      <x:c r="Q28" s="90" t="str">
        <x:v>国内经济舱通常含20kg；出票前须按实际票价等级复核</x:v>
      </x:c>
      <x:c r="R28" s="90" t="str">
        <x:v>该去程对应的最低可订返程组合；具体返程航班需打开来源链接确认</x:v>
      </x:c>
      <x:c r="S28" s="91" t="n">
        <x:v>46267.746032905095</x:v>
      </x:c>
      <x:c r="T28" s="92" t="str">
        <x:v>https://www.google.com/travel/flights?hl=zh-CN&amp;curr=CNY&amp;q=Flights%20from%20Chongqing%20to%20Kunming%20from%202026-10-03%20to%202026-10-08</x:v>
      </x:c>
      <x:c r="U28" s="136" t="n">
        <x:v>46303</x:v>
      </x:c>
      <x:c r="V28" s="90" t="str">
        <x:v>06:50</x:v>
      </x:c>
      <x:c r="W28" s="90" t="str">
        <x:v>昆明长水国际机场</x:v>
      </x:c>
      <x:c r="X28" s="137" t="n">
        <x:v>46303</x:v>
      </x:c>
      <x:c r="Y28" s="90" t="str">
        <x:v>08:25</x:v>
      </x:c>
      <x:c r="Z28" s="90" t="str">
        <x:v>重庆江北国际机场</x:v>
      </x:c>
      <x:c r="AA28" s="90" t="str">
        <x:v>川航</x:v>
      </x:c>
      <x:c r="AB28" s="90" t="n">
        <x:v>0</x:v>
      </x:c>
      <x:c r="AC28" s="90" t="str">
        <x:v>1 小时 35 分钟</x:v>
      </x:c>
      <x:c r="AD28" s="138"/>
      <x:c r="AE28" s="90" t="str">
        <x:v>当前返程列表无价格，采用排序第一条</x:v>
      </x:c>
      <x:c r="AF28" s="92" t="str">
        <x:v>https://www.google.com/travel/flights/search?tfs=CBwQAhpMEgoyMDI2LTEwLTAzIiAKA0NLRxIKMjAyNi0xMC0wMxoDS01HKgIzVTIEODI4NGoNCAISCS9tLzAxNzIzNnINCAISCS9tLzAxYzA2ZBoqEgoyMDI2LTEwLTA4ag0IAhIJL20vMDFjMDZkcg0IAhIJL20vMDE3MjM2QAFIAXABggELCP___________wGYAQE&amp;tfu=ClhDalJJYjBOd1MydElWbTlpTW1OQlJIWXdVM2RDUnkwdExTMHRMWE50WTNkck55MXVNa0ZCUVVGQlIzRlpSRWRSUmtJMWEwRkJFZ1l6VlRneU9EUTRIQT09EgYIACACKAEiAwoBMA&amp;hl=zh-CN&amp;curr=CNY</x:v>
      </x:c>
    </x:row>
    <x:row r="29" ht="42" customHeight="1">
      <x:c r="A29" s="85" t="n">
        <x:f>ROW()-7</x:f>
        <x:v>22</x:v>
      </x:c>
      <x:c r="B29" s="86" t="n">
        <x:v>46299</x:v>
      </x:c>
      <x:c r="C29" s="86" t="n">
        <x:v>46304</x:v>
      </x:c>
      <x:c r="D29" s="87" t="n">
        <x:v>5</x:v>
      </x:c>
      <x:c r="E29" s="88" t="str">
        <x:v>祥鹏航空</x:v>
      </x:c>
      <x:c r="F29" s="88" t="str">
        <x:v>23:10</x:v>
      </x:c>
      <x:c r="G29" s="88" t="str">
        <x:v>00:45 +1</x:v>
      </x:c>
      <x:c r="H29" s="88" t="str">
        <x:v>重庆江北国际机场</x:v>
      </x:c>
      <x:c r="I29" s="88" t="str">
        <x:v>昆明长水国际机场</x:v>
      </x:c>
      <x:c r="J29" s="88" t="n">
        <x:v>0</x:v>
      </x:c>
      <x:c r="K29" s="88" t="str">
        <x:v>—</x:v>
      </x:c>
      <x:c r="L29" s="88" t="str">
        <x:v>1 小时 35 分钟</x:v>
      </x:c>
      <x:c r="M29" s="89" t="n">
        <x:v>1006</x:v>
      </x:c>
      <x:c r="N29" s="89" t="n">
        <x:v>800</x:v>
      </x:c>
      <x:c r="O29" s="89" t="n">
        <x:f>M29+N29</x:f>
        <x:v>1806</x:v>
      </x:c>
      <x:c r="P29" s="88" t="str">
        <x:f>IF(O29&lt;5000,"是","否")</x:f>
        <x:v>是</x:v>
      </x:c>
      <x:c r="Q29" s="90" t="str">
        <x:v>差异化行李票价等级未知；按每程20kg最多¥400、往返保守预留¥800</x:v>
      </x:c>
      <x:c r="R29" s="90" t="str">
        <x:v>该去程对应的最低可订返程组合；具体返程航班需打开来源链接确认</x:v>
      </x:c>
      <x:c r="S29" s="91" t="n">
        <x:v>46267.746032905095</x:v>
      </x:c>
      <x:c r="T29" s="92" t="str">
        <x:v>https://www.google.com/travel/flights?hl=zh-CN&amp;curr=CNY&amp;q=Flights%20from%20Chongqing%20to%20Kunming%20from%202026-10-04%20to%202026-10-09</x:v>
      </x:c>
      <x:c r="U29" s="136"/>
      <x:c r="V29" s="90"/>
      <x:c r="W29" s="90"/>
      <x:c r="X29" s="137"/>
      <x:c r="Y29" s="90"/>
      <x:c r="Z29" s="90"/>
      <x:c r="AA29" s="90"/>
      <x:c r="AB29" s="90"/>
      <x:c r="AC29" s="90"/>
      <x:c r="AD29" s="138"/>
      <x:c r="AE29" s="90" t="str">
        <x:v>去程当前未找到，返程待核验</x:v>
      </x:c>
      <x:c r="AF29" s="92" t="str">
        <x:v>https://www.google.com/travel/flights?hl=zh-CN&amp;curr=CNY&amp;q=Flights%20from%20Chongqing%20to%20Kunming%20from%202026-10-04%20to%202026-10-09</x:v>
      </x:c>
    </x:row>
    <x:row r="30" ht="42" customHeight="1">
      <x:c r="A30" s="85" t="n">
        <x:f>ROW()-7</x:f>
        <x:v>23</x:v>
      </x:c>
      <x:c r="B30" s="86" t="n">
        <x:v>46299</x:v>
      </x:c>
      <x:c r="C30" s="86" t="n">
        <x:v>46303</x:v>
      </x:c>
      <x:c r="D30" s="87" t="n">
        <x:v>4</x:v>
      </x:c>
      <x:c r="E30" s="88" t="str">
        <x:v>南航</x:v>
      </x:c>
      <x:c r="F30" s="88" t="str">
        <x:v>23:55</x:v>
      </x:c>
      <x:c r="G30" s="88" t="str">
        <x:v>09:40 +1</x:v>
      </x:c>
      <x:c r="H30" s="88" t="str">
        <x:v>重庆江北国际机场</x:v>
      </x:c>
      <x:c r="I30" s="88" t="str">
        <x:v>昆明长水国际机场</x:v>
      </x:c>
      <x:c r="J30" s="88" t="n">
        <x:v>1</x:v>
      </x:c>
      <x:c r="K30" s="88" t="str">
        <x:v>武汉市的武汉天河国际机场 / 6 小时 15 分钟</x:v>
      </x:c>
      <x:c r="L30" s="88" t="str">
        <x:v>9 小时 45 分钟</x:v>
      </x:c>
      <x:c r="M30" s="89" t="n">
        <x:v>1918</x:v>
      </x:c>
      <x:c r="N30" s="89" t="n">
        <x:v>0</x:v>
      </x:c>
      <x:c r="O30" s="89" t="n">
        <x:f>M30+N30</x:f>
        <x:v>1918</x:v>
      </x:c>
      <x:c r="P30" s="88" t="str">
        <x:f>IF(O30&lt;5000,"是","否")</x:f>
        <x:v>是</x:v>
      </x:c>
      <x:c r="Q30" s="90" t="str">
        <x:v>国内经济舱通常含20kg；出票前须按实际票价等级复核</x:v>
      </x:c>
      <x:c r="R30" s="90" t="str">
        <x:v>该去程对应的最低可订返程组合；具体返程航班需打开来源链接确认</x:v>
      </x:c>
      <x:c r="S30" s="91" t="n">
        <x:v>46267.746032905095</x:v>
      </x:c>
      <x:c r="T30" s="92" t="str">
        <x:v>https://www.google.com/travel/flights?hl=zh-CN&amp;curr=CNY&amp;q=Flights%20from%20Chongqing%20to%20Kunming%20from%202026-10-04%20to%202026-10-08</x:v>
      </x:c>
      <x:c r="U30" s="136"/>
      <x:c r="V30" s="90"/>
      <x:c r="W30" s="90"/>
      <x:c r="X30" s="137"/>
      <x:c r="Y30" s="90"/>
      <x:c r="Z30" s="90"/>
      <x:c r="AA30" s="90"/>
      <x:c r="AB30" s="90"/>
      <x:c r="AC30" s="90"/>
      <x:c r="AD30" s="138"/>
      <x:c r="AE30" s="90" t="str">
        <x:v>去程当前未找到，返程待核验</x:v>
      </x:c>
      <x:c r="AF30" s="92" t="str">
        <x:v>https://www.google.com/travel/flights?hl=zh-CN&amp;curr=CNY&amp;q=Flights%20from%20Chongqing%20to%20Kunming%20from%202026-10-04%20to%202026-10-08</x:v>
      </x:c>
    </x:row>
    <x:row r="31" ht="42" customHeight="1">
      <x:c r="A31" s="85" t="n">
        <x:f>ROW()-7</x:f>
        <x:v>24</x:v>
      </x:c>
      <x:c r="B31" s="86" t="n">
        <x:v>46296</x:v>
      </x:c>
      <x:c r="C31" s="86" t="n">
        <x:v>46303</x:v>
      </x:c>
      <x:c r="D31" s="87" t="n">
        <x:v>7</x:v>
      </x:c>
      <x:c r="E31" s="88" t="str">
        <x:v>东航</x:v>
      </x:c>
      <x:c r="F31" s="88" t="str">
        <x:v>15:30</x:v>
      </x:c>
      <x:c r="G31" s="88" t="str">
        <x:v>16:50</x:v>
      </x:c>
      <x:c r="H31" s="88" t="str">
        <x:v>重庆江北国际机场</x:v>
      </x:c>
      <x:c r="I31" s="88" t="str">
        <x:v>昆明长水国际机场</x:v>
      </x:c>
      <x:c r="J31" s="88" t="n">
        <x:v>0</x:v>
      </x:c>
      <x:c r="K31" s="88" t="str">
        <x:v>—</x:v>
      </x:c>
      <x:c r="L31" s="88" t="str">
        <x:v>1 小时 20 分钟</x:v>
      </x:c>
      <x:c r="M31" s="89" t="n">
        <x:v>1968</x:v>
      </x:c>
      <x:c r="N31" s="89" t="n">
        <x:v>0</x:v>
      </x:c>
      <x:c r="O31" s="89" t="n">
        <x:f>M31+N31</x:f>
        <x:v>1968</x:v>
      </x:c>
      <x:c r="P31" s="88" t="str">
        <x:f>IF(O31&lt;5000,"是","否")</x:f>
        <x:v>是</x:v>
      </x:c>
      <x:c r="Q31" s="90" t="str">
        <x:v>国内经济舱通常含20kg；出票前须按实际票价等级复核</x:v>
      </x:c>
      <x:c r="R31" s="90" t="str">
        <x:v>该去程对应的最低可订返程组合；具体返程航班需打开来源链接确认</x:v>
      </x:c>
      <x:c r="S31" s="91" t="n">
        <x:v>46267.746032905095</x:v>
      </x:c>
      <x:c r="T31" s="92" t="str">
        <x:v>https://www.google.com/travel/flights?hl=zh-CN&amp;curr=CNY&amp;q=Flights%20from%20Chongqing%20to%20Kunming%20from%202026-10-01%20to%202026-10-08</x:v>
      </x:c>
      <x:c r="U31" s="136" t="n">
        <x:v>46303</x:v>
      </x:c>
      <x:c r="V31" s="90" t="str">
        <x:v>12:30</x:v>
      </x:c>
      <x:c r="W31" s="90" t="str">
        <x:v>昆明长水国际机场</x:v>
      </x:c>
      <x:c r="X31" s="137" t="n">
        <x:v>46303</x:v>
      </x:c>
      <x:c r="Y31" s="90" t="str">
        <x:v>14:10</x:v>
      </x:c>
      <x:c r="Z31" s="90" t="str">
        <x:v>重庆江北国际机场</x:v>
      </x:c>
      <x:c r="AA31" s="90" t="str">
        <x:v>东航</x:v>
      </x:c>
      <x:c r="AB31" s="90" t="n">
        <x:v>0</x:v>
      </x:c>
      <x:c r="AC31" s="90" t="str">
        <x:v>1 小时 40 分钟</x:v>
      </x:c>
      <x:c r="AD31" s="138" t="n">
        <x:v>1968</x:v>
      </x:c>
      <x:c r="AE31" s="90" t="str">
        <x:v>匹配原始往返起价</x:v>
      </x:c>
      <x:c r="AF31" s="92" t="str">
        <x:v>https://www.google.com/travel/flights/search?tfs=CBwQAhpMEgoyMDI2LTEwLTAxIiAKA0NLRxIKMjAyNi0xMC0wMRoDS01HKgJNVTIENTg2NGoNCAISCS9tLzAxNzIzNnINCAISCS9tLzAxYzA2ZBoqEgoyMDI2LTEwLTA4ag0IAhIJL20vMDFjMDZkcg0IAhIJL20vMDE3MjM2QAFIAXABggELCP___________wGYAQE&amp;tfu=CmxDalJJYlhCeE56bGlkak5LY1dkQlJETnlaMEZDUnkwdExTMHRMUzF6YlhWNE9DMXVNa0ZCUVVGQlIzRlpSRWROU2poeFRqQkJFZ1pOVlRVNE5qUWFDZ2l3RHhBQUdnTkRUbGs0SEhEaTVBRT0SAggAIgA&amp;hl=zh-CN&amp;curr=CNY</x:v>
      </x:c>
    </x:row>
    <x:row r="32" ht="42" customHeight="1">
      <x:c r="A32" s="85" t="n">
        <x:f>ROW()-7</x:f>
        <x:v>25</x:v>
      </x:c>
      <x:c r="B32" s="86" t="n">
        <x:v>46296</x:v>
      </x:c>
      <x:c r="C32" s="86" t="n">
        <x:v>46303</x:v>
      </x:c>
      <x:c r="D32" s="87" t="n">
        <x:v>7</x:v>
      </x:c>
      <x:c r="E32" s="88" t="str">
        <x:v>东航</x:v>
      </x:c>
      <x:c r="F32" s="88" t="str">
        <x:v>10:50</x:v>
      </x:c>
      <x:c r="G32" s="88" t="str">
        <x:v>12:25</x:v>
      </x:c>
      <x:c r="H32" s="88" t="str">
        <x:v>重庆江北国际机场</x:v>
      </x:c>
      <x:c r="I32" s="88" t="str">
        <x:v>昆明长水国际机场</x:v>
      </x:c>
      <x:c r="J32" s="88" t="n">
        <x:v>0</x:v>
      </x:c>
      <x:c r="K32" s="88" t="str">
        <x:v>—</x:v>
      </x:c>
      <x:c r="L32" s="88" t="str">
        <x:v>1 小时 35 分钟</x:v>
      </x:c>
      <x:c r="M32" s="89" t="n">
        <x:v>1979</x:v>
      </x:c>
      <x:c r="N32" s="89" t="n">
        <x:v>0</x:v>
      </x:c>
      <x:c r="O32" s="89" t="n">
        <x:f>M32+N32</x:f>
        <x:v>1979</x:v>
      </x:c>
      <x:c r="P32" s="88" t="str">
        <x:f>IF(O32&lt;5000,"是","否")</x:f>
        <x:v>是</x:v>
      </x:c>
      <x:c r="Q32" s="90" t="str">
        <x:v>国内经济舱通常含20kg；出票前须按实际票价等级复核</x:v>
      </x:c>
      <x:c r="R32" s="90" t="str">
        <x:v>该去程对应的最低可订返程组合；具体返程航班需打开来源链接确认</x:v>
      </x:c>
      <x:c r="S32" s="91" t="n">
        <x:v>46267.746032905095</x:v>
      </x:c>
      <x:c r="T32" s="92" t="str">
        <x:v>https://www.google.com/travel/flights?hl=zh-CN&amp;curr=CNY&amp;q=Flights%20from%20Chongqing%20to%20Kunming%20from%202026-10-01%20to%202026-10-08</x:v>
      </x:c>
      <x:c r="U32" s="136" t="n">
        <x:v>46303</x:v>
      </x:c>
      <x:c r="V32" s="90" t="str">
        <x:v>08:05</x:v>
      </x:c>
      <x:c r="W32" s="90" t="str">
        <x:v>昆明长水国际机场</x:v>
      </x:c>
      <x:c r="X32" s="137" t="n">
        <x:v>46303</x:v>
      </x:c>
      <x:c r="Y32" s="90" t="str">
        <x:v>09:35</x:v>
      </x:c>
      <x:c r="Z32" s="90" t="str">
        <x:v>重庆江北国际机场</x:v>
      </x:c>
      <x:c r="AA32" s="90" t="str">
        <x:v>东航</x:v>
      </x:c>
      <x:c r="AB32" s="90" t="n">
        <x:v>0</x:v>
      </x:c>
      <x:c r="AC32" s="90" t="str">
        <x:v>1 小时 30 分钟</x:v>
      </x:c>
      <x:c r="AD32" s="138"/>
      <x:c r="AE32" s="90" t="str">
        <x:v>当前返程列表无价格，采用排序第一条</x:v>
      </x:c>
      <x:c r="AF32" s="92" t="str">
        <x:v>https://www.google.com/travel/flights/search?tfs=CBwQAhpMEgoyMDI2LTEwLTAxIiAKA0NLRxIKMjAyNi0xMC0wMRoDS01HKgJNVTIENTg2NmoNCAISCS9tLzAxNzIzNnINCAISCS9tLzAxYzA2ZBoqEgoyMDI2LTEwLTA4ag0IAhIJL20vMDFjMDZkcg0IAhIJL20vMDE3MjM2QAFIAXABggELCP___________wGYAQE&amp;tfu=CmxDalJJVEVvMGRVZFVjWE5mVEZsQlJXMXRVMmRDUnkwdExTMHRMUzB0YzJWaVpXRTBNVUZCUVVGQlIzRlpSRWgzU0dGRFVXTkJFZ1pOVlRVNE5qWWFDZ2k3RHhBQUdnTkRUbGs0SFhDRzVnRT0SAggAIgA&amp;hl=zh-CN&amp;curr=CNY</x:v>
      </x:c>
    </x:row>
    <x:row r="33" ht="42" customHeight="1">
      <x:c r="A33" s="85" t="n">
        <x:f>ROW()-7</x:f>
        <x:v>26</x:v>
      </x:c>
      <x:c r="B33" s="86" t="n">
        <x:v>46297</x:v>
      </x:c>
      <x:c r="C33" s="86" t="n">
        <x:v>46302</x:v>
      </x:c>
      <x:c r="D33" s="87" t="n">
        <x:v>5</x:v>
      </x:c>
      <x:c r="E33" s="88" t="str">
        <x:v>东航</x:v>
      </x:c>
      <x:c r="F33" s="88" t="str">
        <x:v>15:30</x:v>
      </x:c>
      <x:c r="G33" s="88" t="str">
        <x:v>17:05</x:v>
      </x:c>
      <x:c r="H33" s="88" t="str">
        <x:v>重庆江北国际机场</x:v>
      </x:c>
      <x:c r="I33" s="88" t="str">
        <x:v>昆明长水国际机场</x:v>
      </x:c>
      <x:c r="J33" s="88" t="n">
        <x:v>0</x:v>
      </x:c>
      <x:c r="K33" s="88" t="str">
        <x:v>—</x:v>
      </x:c>
      <x:c r="L33" s="88" t="str">
        <x:v>1 小时 35 分钟</x:v>
      </x:c>
      <x:c r="M33" s="89" t="n">
        <x:v>1979</x:v>
      </x:c>
      <x:c r="N33" s="89" t="n">
        <x:v>0</x:v>
      </x:c>
      <x:c r="O33" s="89" t="n">
        <x:f>M33+N33</x:f>
        <x:v>1979</x:v>
      </x:c>
      <x:c r="P33" s="88" t="str">
        <x:f>IF(O33&lt;5000,"是","否")</x:f>
        <x:v>是</x:v>
      </x:c>
      <x:c r="Q33" s="90" t="str">
        <x:v>国内经济舱通常含20kg；出票前须按实际票价等级复核</x:v>
      </x:c>
      <x:c r="R33" s="90" t="str">
        <x:v>该去程对应的最低可订返程组合；具体返程航班需打开来源链接确认</x:v>
      </x:c>
      <x:c r="S33" s="91" t="n">
        <x:v>46267.746032905095</x:v>
      </x:c>
      <x:c r="T33" s="92" t="str">
        <x:v>https://www.google.com/travel/flights?hl=zh-CN&amp;curr=CNY&amp;q=Flights%20from%20Chongqing%20to%20Kunming%20from%202026-10-02%20to%202026-10-07</x:v>
      </x:c>
      <x:c r="U33" s="136" t="n">
        <x:v>46302</x:v>
      </x:c>
      <x:c r="V33" s="90" t="str">
        <x:v>12:30</x:v>
      </x:c>
      <x:c r="W33" s="90" t="str">
        <x:v>昆明长水国际机场</x:v>
      </x:c>
      <x:c r="X33" s="137" t="n">
        <x:v>46302</x:v>
      </x:c>
      <x:c r="Y33" s="90" t="str">
        <x:v>14:10</x:v>
      </x:c>
      <x:c r="Z33" s="90" t="str">
        <x:v>重庆江北国际机场</x:v>
      </x:c>
      <x:c r="AA33" s="90" t="str">
        <x:v>东航</x:v>
      </x:c>
      <x:c r="AB33" s="90" t="n">
        <x:v>0</x:v>
      </x:c>
      <x:c r="AC33" s="90" t="str">
        <x:v>1 小时 40 分钟</x:v>
      </x:c>
      <x:c r="AD33" s="138" t="n">
        <x:v>1979</x:v>
      </x:c>
      <x:c r="AE33" s="90" t="str">
        <x:v>匹配原始往返起价</x:v>
      </x:c>
      <x:c r="AF33" s="92" t="str">
        <x:v>https://www.google.com/travel/flights/search?tfs=CBwQAhpMEgoyMDI2LTEwLTAyIiAKA0NLRxIKMjAyNi0xMC0wMhoDS01HKgJNVTIENTg2NGoNCAISCS9tLzAxNzIzNnINCAISCS9tLzAxYzA2ZBoqEgoyMDI2LTEwLTA3ag0IAhIJL20vMDFjMDZkcg0IAhIJL20vMDE3MjM2QAFIAXABggELCP___________wGYAQE&amp;tfu=CmxDalJJYnpSMU9IcEhkWFk1WVc5QlJuaGljVUZDUnkwdExTMHRMUzB0TFhObFlteG9OMEZCUVVGQlIzRlpSRWgzU0dkeVVIRkJFZ1pOVlRVNE5qUWFDZ2k3RHhBQUdnTkRUbGs0SFhDRzVnRT0SAggAIgA&amp;hl=zh-CN&amp;curr=CNY</x:v>
      </x:c>
    </x:row>
    <x:row r="34" ht="42" customHeight="1">
      <x:c r="A34" s="85" t="n">
        <x:f>ROW()-7</x:f>
        <x:v>27</x:v>
      </x:c>
      <x:c r="B34" s="86" t="n">
        <x:v>46297</x:v>
      </x:c>
      <x:c r="C34" s="86" t="n">
        <x:v>46301</x:v>
      </x:c>
      <x:c r="D34" s="87" t="n">
        <x:v>4</x:v>
      </x:c>
      <x:c r="E34" s="88" t="str">
        <x:v>川航</x:v>
      </x:c>
      <x:c r="F34" s="88" t="str">
        <x:v>15:30</x:v>
      </x:c>
      <x:c r="G34" s="88" t="str">
        <x:v>16:55</x:v>
      </x:c>
      <x:c r="H34" s="88" t="str">
        <x:v>重庆江北国际机场</x:v>
      </x:c>
      <x:c r="I34" s="88" t="str">
        <x:v>昆明长水国际机场</x:v>
      </x:c>
      <x:c r="J34" s="88" t="n">
        <x:v>0</x:v>
      </x:c>
      <x:c r="K34" s="88" t="str">
        <x:v>—</x:v>
      </x:c>
      <x:c r="L34" s="88" t="str">
        <x:v>1 小时 25 分钟</x:v>
      </x:c>
      <x:c r="M34" s="89" t="n">
        <x:v>2010</x:v>
      </x:c>
      <x:c r="N34" s="89" t="n">
        <x:v>0</x:v>
      </x:c>
      <x:c r="O34" s="89" t="n">
        <x:f>M34+N34</x:f>
        <x:v>2010</x:v>
      </x:c>
      <x:c r="P34" s="88" t="str">
        <x:f>IF(O34&lt;5000,"是","否")</x:f>
        <x:v>是</x:v>
      </x:c>
      <x:c r="Q34" s="90" t="str">
        <x:v>国内经济舱通常含20kg；出票前须按实际票价等级复核</x:v>
      </x:c>
      <x:c r="R34" s="90" t="str">
        <x:v>该去程对应的最低可订返程组合；具体返程航班需打开来源链接确认</x:v>
      </x:c>
      <x:c r="S34" s="91" t="n">
        <x:v>46267.746032905095</x:v>
      </x:c>
      <x:c r="T34" s="92" t="str">
        <x:v>https://www.google.com/travel/flights?hl=zh-CN&amp;curr=CNY&amp;q=Flights%20from%20Chongqing%20to%20Kunming%20from%202026-10-02%20to%202026-10-06</x:v>
      </x:c>
      <x:c r="U34" s="136" t="n">
        <x:v>46301</x:v>
      </x:c>
      <x:c r="V34" s="90" t="str">
        <x:v>06:50</x:v>
      </x:c>
      <x:c r="W34" s="90" t="str">
        <x:v>昆明长水国际机场</x:v>
      </x:c>
      <x:c r="X34" s="137" t="n">
        <x:v>46301</x:v>
      </x:c>
      <x:c r="Y34" s="90" t="str">
        <x:v>08:25</x:v>
      </x:c>
      <x:c r="Z34" s="90" t="str">
        <x:v>重庆江北国际机场</x:v>
      </x:c>
      <x:c r="AA34" s="90" t="str">
        <x:v>川航</x:v>
      </x:c>
      <x:c r="AB34" s="90" t="n">
        <x:v>0</x:v>
      </x:c>
      <x:c r="AC34" s="90" t="str">
        <x:v>1 小时 35 分钟</x:v>
      </x:c>
      <x:c r="AD34" s="138"/>
      <x:c r="AE34" s="90" t="str">
        <x:v>当前返程列表无价格，采用排序第一条</x:v>
      </x:c>
      <x:c r="AF34" s="92" t="str">
        <x:v>https://www.google.com/travel/flights/search?tfs=CBwQAhpMEgoyMDI2LTEwLTAyIiAKA0NLRxIKMjAyNi0xMC0wMhoDS01HKgIzVTIEODI4NGoNCAISCS9tLzAxNzIzNnINCAISCS9tLzAxYzA2ZBoqEgoyMDI2LTEwLTA2ag0IAhIJL20vMDFjMDZkcg0IAhIJL20vMDE3MjM2QAFIAXABggELCP___________wGYAQE&amp;tfu=ClhDalJJTjI1cVh5MTFabXBWVjI5QlJXdDVZMmRDUnkwdExTMHRMWE5sZEc0eU5pMXVNVUZCUVVGQlIzRlpSRWc0U25kek1XTkJFZ1l6VlRneU9EUTRIQT09EgYIACACKAEiAwoBMA&amp;hl=zh-CN&amp;curr=CNY</x:v>
      </x:c>
    </x:row>
    <x:row r="35" ht="42" customHeight="1">
      <x:c r="A35" s="85" t="n">
        <x:f>ROW()-7</x:f>
        <x:v>28</x:v>
      </x:c>
      <x:c r="B35" s="86" t="n">
        <x:v>46298</x:v>
      </x:c>
      <x:c r="C35" s="86" t="n">
        <x:v>46302</x:v>
      </x:c>
      <x:c r="D35" s="87" t="n">
        <x:v>4</x:v>
      </x:c>
      <x:c r="E35" s="88" t="str">
        <x:v>川航</x:v>
      </x:c>
      <x:c r="F35" s="88" t="str">
        <x:v>15:30</x:v>
      </x:c>
      <x:c r="G35" s="88" t="str">
        <x:v>16:55</x:v>
      </x:c>
      <x:c r="H35" s="88" t="str">
        <x:v>重庆江北国际机场</x:v>
      </x:c>
      <x:c r="I35" s="88" t="str">
        <x:v>昆明长水国际机场</x:v>
      </x:c>
      <x:c r="J35" s="88" t="n">
        <x:v>0</x:v>
      </x:c>
      <x:c r="K35" s="88" t="str">
        <x:v>—</x:v>
      </x:c>
      <x:c r="L35" s="88" t="str">
        <x:v>1 小时 25 分钟</x:v>
      </x:c>
      <x:c r="M35" s="89" t="n">
        <x:v>2010</x:v>
      </x:c>
      <x:c r="N35" s="89" t="n">
        <x:v>0</x:v>
      </x:c>
      <x:c r="O35" s="89" t="n">
        <x:f>M35+N35</x:f>
        <x:v>2010</x:v>
      </x:c>
      <x:c r="P35" s="88" t="str">
        <x:f>IF(O35&lt;5000,"是","否")</x:f>
        <x:v>是</x:v>
      </x:c>
      <x:c r="Q35" s="90" t="str">
        <x:v>国内经济舱通常含20kg；出票前须按实际票价等级复核</x:v>
      </x:c>
      <x:c r="R35" s="90" t="str">
        <x:v>该去程对应的最低可订返程组合；具体返程航班需打开来源链接确认</x:v>
      </x:c>
      <x:c r="S35" s="91" t="n">
        <x:v>46267.746032905095</x:v>
      </x:c>
      <x:c r="T35" s="92" t="str">
        <x:v>https://www.google.com/travel/flights?hl=zh-CN&amp;curr=CNY&amp;q=Flights%20from%20Chongqing%20to%20Kunming%20from%202026-10-03%20to%202026-10-07</x:v>
      </x:c>
      <x:c r="U35" s="136" t="n">
        <x:v>46302</x:v>
      </x:c>
      <x:c r="V35" s="90" t="str">
        <x:v>07:05</x:v>
      </x:c>
      <x:c r="W35" s="90" t="str">
        <x:v>昆明长水国际机场</x:v>
      </x:c>
      <x:c r="X35" s="137" t="n">
        <x:v>46302</x:v>
      </x:c>
      <x:c r="Y35" s="90" t="str">
        <x:v>08:35</x:v>
      </x:c>
      <x:c r="Z35" s="90" t="str">
        <x:v>重庆江北国际机场</x:v>
      </x:c>
      <x:c r="AA35" s="90" t="str">
        <x:v>川航</x:v>
      </x:c>
      <x:c r="AB35" s="90" t="n">
        <x:v>0</x:v>
      </x:c>
      <x:c r="AC35" s="90" t="str">
        <x:v>1 小时 30 分钟</x:v>
      </x:c>
      <x:c r="AD35" s="138"/>
      <x:c r="AE35" s="90" t="str">
        <x:v>当前返程列表无价格，采用排序第一条</x:v>
      </x:c>
      <x:c r="AF35" s="92" t="str">
        <x:v>https://www.google.com/travel/flights/search?tfs=CBwQAhpMEgoyMDI2LTEwLTAzIiAKA0NLRxIKMjAyNi0xMC0wMxoDS01HKgIzVTIEODI4NGoNCAISCS9tLzAxNzIzNnINCAISCS9tLzAxYzA2ZBoqEgoyMDI2LTEwLTA3ag0IAhIJL20vMDFjMDZkcg0IAhIJL20vMDE3MjM2QAFIAXABggELCP___________wGYAQE&amp;tfu=CmxDalJJTlU4M1RFRndjM05IY25OQlJsaFdkbmRDUnkwdExTMHRMUzB0TFhOdFltUm5ORUZCUVVGQlIzRlpSRWc0UWxCc1JrTkJFZ1l6VlRneU9EUWFDZ2phRHhBQUdnTkRUbGs0SEhEVDZRRT0SAggAIgMKATA&amp;hl=zh-CN&amp;curr=CNY</x:v>
      </x:c>
    </x:row>
    <x:row r="36" ht="42" customHeight="1">
      <x:c r="A36" s="85" t="n">
        <x:f>ROW()-7</x:f>
        <x:v>29</x:v>
      </x:c>
      <x:c r="B36" s="86" t="n">
        <x:v>46299</x:v>
      </x:c>
      <x:c r="C36" s="86" t="n">
        <x:v>46303</x:v>
      </x:c>
      <x:c r="D36" s="87" t="n">
        <x:v>4</x:v>
      </x:c>
      <x:c r="E36" s="88" t="str">
        <x:v>春航</x:v>
      </x:c>
      <x:c r="F36" s="88" t="str">
        <x:v>22:05</x:v>
      </x:c>
      <x:c r="G36" s="88" t="str">
        <x:v>11:00 +1</x:v>
      </x:c>
      <x:c r="H36" s="88" t="str">
        <x:v>重庆江北国际机场</x:v>
      </x:c>
      <x:c r="I36" s="88" t="str">
        <x:v>昆明长水国际机场</x:v>
      </x:c>
      <x:c r="J36" s="88" t="n">
        <x:v>1</x:v>
      </x:c>
      <x:c r="K36" s="88" t="str">
        <x:v>兰州市的兰州中川机场 / 8 小时 45 分钟</x:v>
      </x:c>
      <x:c r="L36" s="88" t="str">
        <x:v>12 小时 55 分钟</x:v>
      </x:c>
      <x:c r="M36" s="89" t="n">
        <x:v>1714</x:v>
      </x:c>
      <x:c r="N36" s="89" t="n">
        <x:v>350</x:v>
      </x:c>
      <x:c r="O36" s="89" t="n">
        <x:f>M36+N36</x:f>
        <x:v>2064</x:v>
      </x:c>
      <x:c r="P36" s="88" t="str">
        <x:f>IF(O36&lt;5000,"是","否")</x:f>
        <x:v>是</x:v>
      </x:c>
      <x:c r="Q36" s="90" t="str">
        <x:v>春秋低价票可能不含托运；按国内往返20kg保守预留¥350</x:v>
      </x:c>
      <x:c r="R36" s="90" t="str">
        <x:v>该去程对应的最低可订返程组合；具体返程航班需打开来源链接确认</x:v>
      </x:c>
      <x:c r="S36" s="91" t="n">
        <x:v>46267.746032905095</x:v>
      </x:c>
      <x:c r="T36" s="92" t="str">
        <x:v>https://www.google.com/travel/flights?hl=zh-CN&amp;curr=CNY&amp;q=Flights%20from%20Chongqing%20to%20Kunming%20from%202026-10-04%20to%202026-10-08</x:v>
      </x:c>
      <x:c r="U36" s="136"/>
      <x:c r="V36" s="90"/>
      <x:c r="W36" s="90"/>
      <x:c r="X36" s="137"/>
      <x:c r="Y36" s="90"/>
      <x:c r="Z36" s="90"/>
      <x:c r="AA36" s="90"/>
      <x:c r="AB36" s="90"/>
      <x:c r="AC36" s="90"/>
      <x:c r="AD36" s="138"/>
      <x:c r="AE36" s="90" t="str">
        <x:v>去程当前未找到，返程待核验</x:v>
      </x:c>
      <x:c r="AF36" s="92" t="str">
        <x:v>https://www.google.com/travel/flights?hl=zh-CN&amp;curr=CNY&amp;q=Flights%20from%20Chongqing%20to%20Kunming%20from%202026-10-04%20to%202026-10-08</x:v>
      </x:c>
    </x:row>
    <x:row r="37" ht="42" customHeight="1">
      <x:c r="A37" s="85" t="n">
        <x:f>ROW()-7</x:f>
        <x:v>30</x:v>
      </x:c>
      <x:c r="B37" s="86" t="n">
        <x:v>46296</x:v>
      </x:c>
      <x:c r="C37" s="86" t="n">
        <x:v>46302</x:v>
      </x:c>
      <x:c r="D37" s="87" t="n">
        <x:v>6</x:v>
      </x:c>
      <x:c r="E37" s="88" t="str">
        <x:v>东航</x:v>
      </x:c>
      <x:c r="F37" s="88" t="str">
        <x:v>10:50</x:v>
      </x:c>
      <x:c r="G37" s="88" t="str">
        <x:v>12:25</x:v>
      </x:c>
      <x:c r="H37" s="88" t="str">
        <x:v>重庆江北国际机场</x:v>
      </x:c>
      <x:c r="I37" s="88" t="str">
        <x:v>昆明长水国际机场</x:v>
      </x:c>
      <x:c r="J37" s="88" t="n">
        <x:v>0</x:v>
      </x:c>
      <x:c r="K37" s="88" t="str">
        <x:v>—</x:v>
      </x:c>
      <x:c r="L37" s="88" t="str">
        <x:v>1 小时 35 分钟</x:v>
      </x:c>
      <x:c r="M37" s="89" t="n">
        <x:v>2132</x:v>
      </x:c>
      <x:c r="N37" s="89" t="n">
        <x:v>0</x:v>
      </x:c>
      <x:c r="O37" s="89" t="n">
        <x:f>M37+N37</x:f>
        <x:v>2132</x:v>
      </x:c>
      <x:c r="P37" s="88" t="str">
        <x:f>IF(O37&lt;5000,"是","否")</x:f>
        <x:v>是</x:v>
      </x:c>
      <x:c r="Q37" s="90" t="str">
        <x:v>国内经济舱通常含20kg；出票前须按实际票价等级复核</x:v>
      </x:c>
      <x:c r="R37" s="90" t="str">
        <x:v>该去程对应的最低可订返程组合；具体返程航班需打开来源链接确认</x:v>
      </x:c>
      <x:c r="S37" s="91" t="n">
        <x:v>46267.746032905095</x:v>
      </x:c>
      <x:c r="T37" s="92" t="str">
        <x:v>https://www.google.com/travel/flights?hl=zh-CN&amp;curr=CNY&amp;q=Flights%20from%20Chongqing%20to%20Kunming%20from%202026-10-01%20to%202026-10-07</x:v>
      </x:c>
      <x:c r="U37" s="136" t="n">
        <x:v>46302</x:v>
      </x:c>
      <x:c r="V37" s="90" t="str">
        <x:v>07:05</x:v>
      </x:c>
      <x:c r="W37" s="90" t="str">
        <x:v>昆明长水国际机场</x:v>
      </x:c>
      <x:c r="X37" s="137" t="n">
        <x:v>46302</x:v>
      </x:c>
      <x:c r="Y37" s="90" t="str">
        <x:v>08:35</x:v>
      </x:c>
      <x:c r="Z37" s="90" t="str">
        <x:v>重庆江北国际机场</x:v>
      </x:c>
      <x:c r="AA37" s="90" t="str">
        <x:v>川航</x:v>
      </x:c>
      <x:c r="AB37" s="90" t="n">
        <x:v>0</x:v>
      </x:c>
      <x:c r="AC37" s="90" t="str">
        <x:v>1 小时 30 分钟</x:v>
      </x:c>
      <x:c r="AD37" s="138"/>
      <x:c r="AE37" s="90" t="str">
        <x:v>当前返程列表无价格，采用排序第一条</x:v>
      </x:c>
      <x:c r="AF37" s="92" t="str">
        <x:v>https://www.google.com/travel/flights/search?tfs=CBwQAhpMEgoyMDI2LTEwLTAxIiAKA0NLRxIKMjAyNi0xMC0wMRoDS01HKgJNVTIENTg2NmoNCAISCS9tLzAxNzIzNnINCAISCS9tLzAxYzA2ZBoqEgoyMDI2LTEwLTA3ag0IAhIJL20vMDFjMDZkcg0IAhIJL20vMDE3MjM2QAFIAXABggELCP___________wGYAQE&amp;tfu=ClhDalJJTjI1cVh5MTFabXBWVjI5QlJYSlJVWGRDUnkwdExTMHRMWE5sZEc0eU5pMXVNVUZCUVVGQlIzRlpSVXBOUldZMldrVkJFZ1pOVlRVNE5qWTRIQT09EgYIACACKAEiAA&amp;hl=zh-CN&amp;curr=CNY</x:v>
      </x:c>
    </x:row>
    <x:row r="38" ht="42" customHeight="1">
      <x:c r="A38" s="85" t="n">
        <x:f>ROW()-7</x:f>
        <x:v>31</x:v>
      </x:c>
      <x:c r="B38" s="86" t="n">
        <x:v>46296</x:v>
      </x:c>
      <x:c r="C38" s="86" t="n">
        <x:v>46300</x:v>
      </x:c>
      <x:c r="D38" s="87" t="n">
        <x:v>4</x:v>
      </x:c>
      <x:c r="E38" s="88" t="str">
        <x:v>川航</x:v>
      </x:c>
      <x:c r="F38" s="88" t="str">
        <x:v>15:30</x:v>
      </x:c>
      <x:c r="G38" s="88" t="str">
        <x:v>16:55</x:v>
      </x:c>
      <x:c r="H38" s="88" t="str">
        <x:v>重庆江北国际机场</x:v>
      </x:c>
      <x:c r="I38" s="88" t="str">
        <x:v>昆明长水国际机场</x:v>
      </x:c>
      <x:c r="J38" s="88" t="n">
        <x:v>0</x:v>
      </x:c>
      <x:c r="K38" s="88" t="str">
        <x:v>—</x:v>
      </x:c>
      <x:c r="L38" s="88" t="str">
        <x:v>1 小时 25 分钟</x:v>
      </x:c>
      <x:c r="M38" s="89" t="n">
        <x:v>2228</x:v>
      </x:c>
      <x:c r="N38" s="89" t="n">
        <x:v>0</x:v>
      </x:c>
      <x:c r="O38" s="89" t="n">
        <x:f>M38+N38</x:f>
        <x:v>2228</x:v>
      </x:c>
      <x:c r="P38" s="88" t="str">
        <x:f>IF(O38&lt;5000,"是","否")</x:f>
        <x:v>是</x:v>
      </x:c>
      <x:c r="Q38" s="90" t="str">
        <x:v>国内经济舱通常含20kg；出票前须按实际票价等级复核</x:v>
      </x:c>
      <x:c r="R38" s="90" t="str">
        <x:v>该去程对应的最低可订返程组合；具体返程航班需打开来源链接确认</x:v>
      </x:c>
      <x:c r="S38" s="91" t="n">
        <x:v>46267.746032905095</x:v>
      </x:c>
      <x:c r="T38" s="92" t="str">
        <x:v>https://www.google.com/travel/flights?hl=zh-CN&amp;curr=CNY&amp;q=Flights%20from%20Chongqing%20to%20Kunming%20from%202026-10-01%20to%202026-10-05</x:v>
      </x:c>
      <x:c r="U38" s="136" t="n">
        <x:v>46300</x:v>
      </x:c>
      <x:c r="V38" s="90" t="str">
        <x:v>07:05</x:v>
      </x:c>
      <x:c r="W38" s="90" t="str">
        <x:v>昆明长水国际机场</x:v>
      </x:c>
      <x:c r="X38" s="137" t="n">
        <x:v>46300</x:v>
      </x:c>
      <x:c r="Y38" s="90" t="str">
        <x:v>08:35</x:v>
      </x:c>
      <x:c r="Z38" s="90" t="str">
        <x:v>重庆江北国际机场</x:v>
      </x:c>
      <x:c r="AA38" s="90" t="str">
        <x:v>川航</x:v>
      </x:c>
      <x:c r="AB38" s="90" t="n">
        <x:v>0</x:v>
      </x:c>
      <x:c r="AC38" s="90" t="str">
        <x:v>1 小时 30 分钟</x:v>
      </x:c>
      <x:c r="AD38" s="138"/>
      <x:c r="AE38" s="90" t="str">
        <x:v>当前返程列表无价格，采用排序第一条</x:v>
      </x:c>
      <x:c r="AF38" s="92" t="str">
        <x:v>https://www.google.com/travel/flights/search?tfs=CBwQAhpMEgoyMDI2LTEwLTAxIiAKA0NLRxIKMjAyNi0xMC0wMRoDS01HKgIzVTIEODI4NGoNCAISCS9tLzAxNzIzNnINCAISCS9tLzAxYzA2ZBoqEgoyMDI2LTEwLTA1ag0IAhIJL20vMDFjMDZkcg0IAhIJL20vMDE3MjM2QAFIAXABggELCP___________wGYAQE&amp;tfu=ClhDalJJTjI1cVh5MTFabXBWVjI5QlJXc3lNR2RDUnkwdExTMHRMWE5sZEc0eU5pMXVNVUZCUVVGQlIzRlpSRWwzUVVOTmVuVkJFZ1l6VlRneU9EUTRIQT09EgYIACACKAEiAwoBMA&amp;hl=zh-CN&amp;curr=CNY</x:v>
      </x:c>
    </x:row>
    <x:row r="39" ht="42" customHeight="1">
      <x:c r="A39" s="85" t="n">
        <x:f>ROW()-7</x:f>
        <x:v>32</x:v>
      </x:c>
      <x:c r="B39" s="86" t="n">
        <x:v>46297</x:v>
      </x:c>
      <x:c r="C39" s="86" t="n">
        <x:v>46302</x:v>
      </x:c>
      <x:c r="D39" s="87" t="n">
        <x:v>5</x:v>
      </x:c>
      <x:c r="E39" s="88" t="str">
        <x:v>祥鹏航空</x:v>
      </x:c>
      <x:c r="F39" s="88" t="str">
        <x:v>23:10</x:v>
      </x:c>
      <x:c r="G39" s="88" t="str">
        <x:v>00:45 +1</x:v>
      </x:c>
      <x:c r="H39" s="88" t="str">
        <x:v>重庆江北国际机场</x:v>
      </x:c>
      <x:c r="I39" s="88" t="str">
        <x:v>昆明长水国际机场</x:v>
      </x:c>
      <x:c r="J39" s="88" t="n">
        <x:v>0</x:v>
      </x:c>
      <x:c r="K39" s="88" t="str">
        <x:v>—</x:v>
      </x:c>
      <x:c r="L39" s="88" t="str">
        <x:v>1 小时 35 分钟</x:v>
      </x:c>
      <x:c r="M39" s="89" t="n">
        <x:v>1459</x:v>
      </x:c>
      <x:c r="N39" s="89" t="n">
        <x:v>800</x:v>
      </x:c>
      <x:c r="O39" s="89" t="n">
        <x:f>M39+N39</x:f>
        <x:v>2259</x:v>
      </x:c>
      <x:c r="P39" s="88" t="str">
        <x:f>IF(O39&lt;5000,"是","否")</x:f>
        <x:v>是</x:v>
      </x:c>
      <x:c r="Q39" s="90" t="str">
        <x:v>差异化行李票价等级未知；按每程20kg最多¥400、往返保守预留¥800</x:v>
      </x:c>
      <x:c r="R39" s="90" t="str">
        <x:v>该去程对应的最低可订返程组合；具体返程航班需打开来源链接确认</x:v>
      </x:c>
      <x:c r="S39" s="91" t="n">
        <x:v>46267.746032905095</x:v>
      </x:c>
      <x:c r="T39" s="92" t="str">
        <x:v>https://www.google.com/travel/flights?hl=zh-CN&amp;curr=CNY&amp;q=Flights%20from%20Chongqing%20to%20Kunming%20from%202026-10-02%20to%202026-10-07</x:v>
      </x:c>
      <x:c r="U39" s="136" t="n">
        <x:v>46302</x:v>
      </x:c>
      <x:c r="V39" s="90" t="str">
        <x:v>20:30</x:v>
      </x:c>
      <x:c r="W39" s="90" t="str">
        <x:v>昆明长水国际机场</x:v>
      </x:c>
      <x:c r="X39" s="137" t="n">
        <x:v>46302</x:v>
      </x:c>
      <x:c r="Y39" s="90" t="str">
        <x:v>22:05</x:v>
      </x:c>
      <x:c r="Z39" s="90" t="str">
        <x:v>重庆江北国际机场</x:v>
      </x:c>
      <x:c r="AA39" s="90" t="str">
        <x:v>祥鹏航空</x:v>
      </x:c>
      <x:c r="AB39" s="90" t="n">
        <x:v>0</x:v>
      </x:c>
      <x:c r="AC39" s="90" t="str">
        <x:v>1 小时 35 分钟</x:v>
      </x:c>
      <x:c r="AD39" s="138" t="n">
        <x:v>1459</x:v>
      </x:c>
      <x:c r="AE39" s="90" t="str">
        <x:v>匹配原始往返起价</x:v>
      </x:c>
      <x:c r="AF39" s="92" t="str">
        <x:v>https://www.google.com/travel/flights/search?tfs=CBwQAhpMEgoyMDI2LTEwLTAyIiAKA0NLRxIKMjAyNi0xMC0wMhoDS01HKgI4TDIEOTg1OGoNCAISCS9tLzAxNzIzNnINCAISCS9tLzAxYzA2ZBoqEgoyMDI2LTEwLTA3ag0IAhIJL20vMDFjMDZkcg0IAhIJL20vMDE3MjM2QAFIAXABggELCP___________wGYAQE&amp;tfu=CmxDalJJTjI1cVh5MTFabXBWVjI5QlJXc3laVUZDUnkwdExTMHRMWE5sZEc0eU5pMXVNVUZCUVVGQlIzRlpSRWx6UTNWaGFWZEJFZ1k0VERrNE5UZ2FDZ2l6Q3hBQUdnTkRUbGs0SEhETnFRRT0SAggAIgMKATA&amp;hl=zh-CN&amp;curr=CNY</x:v>
      </x:c>
    </x:row>
    <x:row r="40" ht="42" customHeight="1">
      <x:c r="A40" s="85" t="n">
        <x:f>ROW()-7</x:f>
        <x:v>33</x:v>
      </x:c>
      <x:c r="B40" s="86" t="n">
        <x:v>46297</x:v>
      </x:c>
      <x:c r="C40" s="86" t="n">
        <x:v>46301</x:v>
      </x:c>
      <x:c r="D40" s="87" t="n">
        <x:v>4</x:v>
      </x:c>
      <x:c r="E40" s="88" t="str">
        <x:v>祥鹏航空</x:v>
      </x:c>
      <x:c r="F40" s="88" t="str">
        <x:v>23:10</x:v>
      </x:c>
      <x:c r="G40" s="88" t="str">
        <x:v>00:45 +1</x:v>
      </x:c>
      <x:c r="H40" s="88" t="str">
        <x:v>重庆江北国际机场</x:v>
      </x:c>
      <x:c r="I40" s="88" t="str">
        <x:v>昆明长水国际机场</x:v>
      </x:c>
      <x:c r="J40" s="88" t="n">
        <x:v>0</x:v>
      </x:c>
      <x:c r="K40" s="88" t="str">
        <x:v>—</x:v>
      </x:c>
      <x:c r="L40" s="88" t="str">
        <x:v>1 小时 35 分钟</x:v>
      </x:c>
      <x:c r="M40" s="89" t="n">
        <x:v>1514</x:v>
      </x:c>
      <x:c r="N40" s="89" t="n">
        <x:v>800</x:v>
      </x:c>
      <x:c r="O40" s="89" t="n">
        <x:f>M40+N40</x:f>
        <x:v>2314</x:v>
      </x:c>
      <x:c r="P40" s="88" t="str">
        <x:f>IF(O40&lt;5000,"是","否")</x:f>
        <x:v>是</x:v>
      </x:c>
      <x:c r="Q40" s="90" t="str">
        <x:v>差异化行李票价等级未知；按每程20kg最多¥400、往返保守预留¥800</x:v>
      </x:c>
      <x:c r="R40" s="90" t="str">
        <x:v>该去程对应的最低可订返程组合；具体返程航班需打开来源链接确认</x:v>
      </x:c>
      <x:c r="S40" s="91" t="n">
        <x:v>46267.746032905095</x:v>
      </x:c>
      <x:c r="T40" s="92" t="str">
        <x:v>https://www.google.com/travel/flights?hl=zh-CN&amp;curr=CNY&amp;q=Flights%20from%20Chongqing%20to%20Kunming%20from%202026-10-02%20to%202026-10-06</x:v>
      </x:c>
      <x:c r="U40" s="136"/>
      <x:c r="V40" s="90"/>
      <x:c r="W40" s="90"/>
      <x:c r="X40" s="137"/>
      <x:c r="Y40" s="90"/>
      <x:c r="Z40" s="90"/>
      <x:c r="AA40" s="90"/>
      <x:c r="AB40" s="90"/>
      <x:c r="AC40" s="90"/>
      <x:c r="AD40" s="138"/>
      <x:c r="AE40" s="90" t="str">
        <x:v>去程当前未找到，返程待核验</x:v>
      </x:c>
      <x:c r="AF40" s="92" t="str">
        <x:v>https://www.google.com/travel/flights?hl=zh-CN&amp;curr=CNY&amp;q=Flights%20from%20Chongqing%20to%20Kunming%20from%202026-10-02%20to%202026-10-06</x:v>
      </x:c>
    </x:row>
    <x:row r="41" ht="42" customHeight="1">
      <x:c r="A41" s="85" t="n">
        <x:f>ROW()-7</x:f>
        <x:v>34</x:v>
      </x:c>
      <x:c r="B41" s="86" t="n">
        <x:v>46296</x:v>
      </x:c>
      <x:c r="C41" s="86" t="n">
        <x:v>46300</x:v>
      </x:c>
      <x:c r="D41" s="87" t="n">
        <x:v>4</x:v>
      </x:c>
      <x:c r="E41" s="88" t="str">
        <x:v>南航</x:v>
      </x:c>
      <x:c r="F41" s="88" t="str">
        <x:v>19:30</x:v>
      </x:c>
      <x:c r="G41" s="88" t="str">
        <x:v>21:00</x:v>
      </x:c>
      <x:c r="H41" s="88" t="str">
        <x:v>重庆江北国际机场</x:v>
      </x:c>
      <x:c r="I41" s="88" t="str">
        <x:v>昆明长水国际机场</x:v>
      </x:c>
      <x:c r="J41" s="88" t="n">
        <x:v>0</x:v>
      </x:c>
      <x:c r="K41" s="88" t="str">
        <x:v>—</x:v>
      </x:c>
      <x:c r="L41" s="88" t="str">
        <x:v>1 小时 30 分钟</x:v>
      </x:c>
      <x:c r="M41" s="89" t="n">
        <x:v>2540</x:v>
      </x:c>
      <x:c r="N41" s="89" t="n">
        <x:v>0</x:v>
      </x:c>
      <x:c r="O41" s="89" t="n">
        <x:f>M41+N41</x:f>
        <x:v>2540</x:v>
      </x:c>
      <x:c r="P41" s="88" t="str">
        <x:f>IF(O41&lt;5000,"是","否")</x:f>
        <x:v>是</x:v>
      </x:c>
      <x:c r="Q41" s="90" t="str">
        <x:v>国内经济舱通常含20kg；出票前须按实际票价等级复核</x:v>
      </x:c>
      <x:c r="R41" s="90" t="str">
        <x:v>该去程对应的最低可订返程组合；具体返程航班需打开来源链接确认</x:v>
      </x:c>
      <x:c r="S41" s="91" t="n">
        <x:v>46267.746032905095</x:v>
      </x:c>
      <x:c r="T41" s="92" t="str">
        <x:v>https://www.google.com/travel/flights?hl=zh-CN&amp;curr=CNY&amp;q=Flights%20from%20Chongqing%20to%20Kunming%20from%202026-10-01%20to%202026-10-05</x:v>
      </x:c>
      <x:c r="U41" s="136" t="n">
        <x:v>46300</x:v>
      </x:c>
      <x:c r="V41" s="90" t="str">
        <x:v>07:05</x:v>
      </x:c>
      <x:c r="W41" s="90" t="str">
        <x:v>昆明长水国际机场</x:v>
      </x:c>
      <x:c r="X41" s="137" t="n">
        <x:v>46300</x:v>
      </x:c>
      <x:c r="Y41" s="90" t="str">
        <x:v>08:35</x:v>
      </x:c>
      <x:c r="Z41" s="90" t="str">
        <x:v>重庆江北国际机场</x:v>
      </x:c>
      <x:c r="AA41" s="90" t="str">
        <x:v>川航</x:v>
      </x:c>
      <x:c r="AB41" s="90" t="n">
        <x:v>0</x:v>
      </x:c>
      <x:c r="AC41" s="90" t="str">
        <x:v>1 小时 30 分钟</x:v>
      </x:c>
      <x:c r="AD41" s="138"/>
      <x:c r="AE41" s="90" t="str">
        <x:v>当前返程列表无价格，采用排序第一条</x:v>
      </x:c>
      <x:c r="AF41" s="92" t="str">
        <x:v>https://www.google.com/travel/flights/search?tfs=CBwQAhpMEgoyMDI2LTEwLTAxIiAKA0NLRxIKMjAyNi0xMC0wMRoDS01HKgJNVTIENTQ0OWoNCAISCS9tLzAxNzIzNnINCAISCS9tLzAxYzA2ZBoqEgoyMDI2LTEwLTA1ag0IAhIJL20vMDFjMDZkcg0IAhIJL20vMDE3MjM2QAFIAXABggELCP___________wGYAQE&amp;tfu=CmxDalJJUldWVWVrOVRPSFJGVkRCQlJWWTNNRkZDUnkwdExTMHRMUzB0TFhObFoyY3lOMEZCUVVGQlIzRlpSRXBqU0V0WFJ6QkJFZ1pOVlRVME5Ea2FDZ2o1RkJBQUdnTkRUbGs0SEhEVHR3ST0SAggAIgA&amp;hl=zh-CN&amp;curr=CNY</x:v>
      </x:c>
    </x:row>
    <x:row r="42" ht="42" customHeight="1">
      <x:c r="A42" s="85" t="n">
        <x:f>ROW()-7</x:f>
        <x:v>35</x:v>
      </x:c>
      <x:c r="B42" s="86" t="n">
        <x:v>46296</x:v>
      </x:c>
      <x:c r="C42" s="86" t="n">
        <x:v>46301</x:v>
      </x:c>
      <x:c r="D42" s="87" t="n">
        <x:v>5</x:v>
      </x:c>
      <x:c r="E42" s="88" t="str">
        <x:v>南航</x:v>
      </x:c>
      <x:c r="F42" s="88" t="str">
        <x:v>19:30</x:v>
      </x:c>
      <x:c r="G42" s="88" t="str">
        <x:v>21:00</x:v>
      </x:c>
      <x:c r="H42" s="88" t="str">
        <x:v>重庆江北国际机场</x:v>
      </x:c>
      <x:c r="I42" s="88" t="str">
        <x:v>昆明长水国际机场</x:v>
      </x:c>
      <x:c r="J42" s="88" t="n">
        <x:v>0</x:v>
      </x:c>
      <x:c r="K42" s="88" t="str">
        <x:v>—</x:v>
      </x:c>
      <x:c r="L42" s="88" t="str">
        <x:v>1 小时 30 分钟</x:v>
      </x:c>
      <x:c r="M42" s="89" t="n">
        <x:v>2540</x:v>
      </x:c>
      <x:c r="N42" s="89" t="n">
        <x:v>0</x:v>
      </x:c>
      <x:c r="O42" s="89" t="n">
        <x:f>M42+N42</x:f>
        <x:v>2540</x:v>
      </x:c>
      <x:c r="P42" s="88" t="str">
        <x:f>IF(O42&lt;5000,"是","否")</x:f>
        <x:v>是</x:v>
      </x:c>
      <x:c r="Q42" s="90" t="str">
        <x:v>国内经济舱通常含20kg；出票前须按实际票价等级复核</x:v>
      </x:c>
      <x:c r="R42" s="90" t="str">
        <x:v>该去程对应的最低可订返程组合；具体返程航班需打开来源链接确认</x:v>
      </x:c>
      <x:c r="S42" s="91" t="n">
        <x:v>46267.746032905095</x:v>
      </x:c>
      <x:c r="T42" s="92" t="str">
        <x:v>https://www.google.com/travel/flights?hl=zh-CN&amp;curr=CNY&amp;q=Flights%20from%20Chongqing%20to%20Kunming%20from%202026-10-01%20to%202026-10-06</x:v>
      </x:c>
      <x:c r="U42" s="136" t="n">
        <x:v>46301</x:v>
      </x:c>
      <x:c r="V42" s="90" t="str">
        <x:v>22:05</x:v>
      </x:c>
      <x:c r="W42" s="90" t="str">
        <x:v>昆明长水国际机场</x:v>
      </x:c>
      <x:c r="X42" s="137" t="n">
        <x:v>46301</x:v>
      </x:c>
      <x:c r="Y42" s="90" t="str">
        <x:v>23:50</x:v>
      </x:c>
      <x:c r="Z42" s="90" t="str">
        <x:v>重庆江北国际机场</x:v>
      </x:c>
      <x:c r="AA42" s="90" t="str">
        <x:v>重航</x:v>
      </x:c>
      <x:c r="AB42" s="90" t="n">
        <x:v>0</x:v>
      </x:c>
      <x:c r="AC42" s="90" t="str">
        <x:v>1 小时 45 分钟</x:v>
      </x:c>
      <x:c r="AD42" s="138"/>
      <x:c r="AE42" s="90" t="str">
        <x:v>当前返程列表无价格，采用排序第一条</x:v>
      </x:c>
      <x:c r="AF42" s="92" t="str">
        <x:v>https://www.google.com/travel/flights/search?tfs=CBwQAhpMEgoyMDI2LTEwLTAxIiAKA0NLRxIKMjAyNi0xMC0wMRoDS01HKgJPUTIEMjExOWoNCAISCS9tLzAxNzIzNnINCAISCS9tLzAxYzA2ZBoqEgoyMDI2LTEwLTA2ag0IAhIJL20vMDFjMDZkcg0IAhIJL20vMDE3MjM2QAFIAXABggELCP___________wGYAQE&amp;tfu=ClhDalJJWmsxS2JWQnVWblJPWkc5QlJEaHdSV2RDUnkwdExTMHRMWE50ZFdNeU5DMXVNa0ZCUVVGQlIzRlpSRXBqU0VnM1oxTkJFZ1pQVVRJeE1UazRIQT09EgIIACIA&amp;hl=zh-CN&amp;curr=CNY</x:v>
      </x:c>
    </x:row>
    <x:row r="43" ht="42" customHeight="1">
      <x:c r="A43" s="85" t="n">
        <x:f>ROW()-7</x:f>
        <x:v>36</x:v>
      </x:c>
      <x:c r="B43" s="86" t="n">
        <x:v>46296</x:v>
      </x:c>
      <x:c r="C43" s="86" t="n">
        <x:v>46303</x:v>
      </x:c>
      <x:c r="D43" s="87" t="n">
        <x:v>7</x:v>
      </x:c>
      <x:c r="E43" s="88" t="str">
        <x:v>南航</x:v>
      </x:c>
      <x:c r="F43" s="88" t="str">
        <x:v>19:30</x:v>
      </x:c>
      <x:c r="G43" s="88" t="str">
        <x:v>21:00</x:v>
      </x:c>
      <x:c r="H43" s="88" t="str">
        <x:v>重庆江北国际机场</x:v>
      </x:c>
      <x:c r="I43" s="88" t="str">
        <x:v>昆明长水国际机场</x:v>
      </x:c>
      <x:c r="J43" s="88" t="n">
        <x:v>0</x:v>
      </x:c>
      <x:c r="K43" s="88" t="str">
        <x:v>—</x:v>
      </x:c>
      <x:c r="L43" s="88" t="str">
        <x:v>1 小时 30 分钟</x:v>
      </x:c>
      <x:c r="M43" s="89" t="n">
        <x:v>2540</x:v>
      </x:c>
      <x:c r="N43" s="89" t="n">
        <x:v>0</x:v>
      </x:c>
      <x:c r="O43" s="89" t="n">
        <x:f>M43+N43</x:f>
        <x:v>2540</x:v>
      </x:c>
      <x:c r="P43" s="88" t="str">
        <x:f>IF(O43&lt;5000,"是","否")</x:f>
        <x:v>是</x:v>
      </x:c>
      <x:c r="Q43" s="90" t="str">
        <x:v>国内经济舱通常含20kg；出票前须按实际票价等级复核</x:v>
      </x:c>
      <x:c r="R43" s="90" t="str">
        <x:v>该去程对应的最低可订返程组合；具体返程航班需打开来源链接确认</x:v>
      </x:c>
      <x:c r="S43" s="91" t="n">
        <x:v>46267.746032905095</x:v>
      </x:c>
      <x:c r="T43" s="92" t="str">
        <x:v>https://www.google.com/travel/flights?hl=zh-CN&amp;curr=CNY&amp;q=Flights%20from%20Chongqing%20to%20Kunming%20from%202026-10-01%20to%202026-10-08</x:v>
      </x:c>
      <x:c r="U43" s="136" t="n">
        <x:v>46303</x:v>
      </x:c>
      <x:c r="V43" s="90" t="str">
        <x:v>22:05</x:v>
      </x:c>
      <x:c r="W43" s="90" t="str">
        <x:v>昆明长水国际机场</x:v>
      </x:c>
      <x:c r="X43" s="137" t="n">
        <x:v>46303</x:v>
      </x:c>
      <x:c r="Y43" s="90" t="str">
        <x:v>23:50</x:v>
      </x:c>
      <x:c r="Z43" s="90" t="str">
        <x:v>重庆江北国际机场</x:v>
      </x:c>
      <x:c r="AA43" s="90" t="str">
        <x:v>重航</x:v>
      </x:c>
      <x:c r="AB43" s="90" t="n">
        <x:v>0</x:v>
      </x:c>
      <x:c r="AC43" s="90" t="str">
        <x:v>1 小时 45 分钟</x:v>
      </x:c>
      <x:c r="AD43" s="138"/>
      <x:c r="AE43" s="90" t="str">
        <x:v>当前返程列表无价格，采用排序第一条</x:v>
      </x:c>
      <x:c r="AF43" s="92" t="str">
        <x:v>https://www.google.com/travel/flights/search?tfs=CBwQAhpMEgoyMDI2LTEwLTAxIiAKA0NLRxIKMjAyNi0xMC0wMRoDS01HKgJPUTIEMjExOWoNCAISCS9tLzAxNzIzNnINCAISCS9tLzAxYzA2ZBoqEgoyMDI2LTEwLTA4ag0IAhIJL20vMDFjMDZkcg0IAhIJL20vMDE3MjM2QAFIAXABggELCP___________wGYAQE&amp;tfu=ClhDalJJUldWVWVrOVRPSFJGVkRCQlJWWTNNWGRDUnkwdExTMHRMUzB0TFhObFoyY3lOMEZCUVVGQlIzRlpSRXBqU1V0RFEwMUJFZ1pQVVRJeE1UazRIQT09EgIIACIA&amp;hl=zh-CN&amp;curr=CNY</x:v>
      </x:c>
    </x:row>
    <x:row r="44" ht="42" customHeight="1">
      <x:c r="A44" s="85" t="n">
        <x:f>ROW()-7</x:f>
        <x:v>37</x:v>
      </x:c>
      <x:c r="B44" s="86" t="n">
        <x:v>46297</x:v>
      </x:c>
      <x:c r="C44" s="86" t="n">
        <x:v>46301</x:v>
      </x:c>
      <x:c r="D44" s="87" t="n">
        <x:v>4</x:v>
      </x:c>
      <x:c r="E44" s="88" t="str">
        <x:v>南航</x:v>
      </x:c>
      <x:c r="F44" s="88" t="str">
        <x:v>19:30</x:v>
      </x:c>
      <x:c r="G44" s="88" t="str">
        <x:v>21:00</x:v>
      </x:c>
      <x:c r="H44" s="88" t="str">
        <x:v>重庆江北国际机场</x:v>
      </x:c>
      <x:c r="I44" s="88" t="str">
        <x:v>昆明长水国际机场</x:v>
      </x:c>
      <x:c r="J44" s="88" t="n">
        <x:v>0</x:v>
      </x:c>
      <x:c r="K44" s="88" t="str">
        <x:v>—</x:v>
      </x:c>
      <x:c r="L44" s="88" t="str">
        <x:v>1 小时 30 分钟</x:v>
      </x:c>
      <x:c r="M44" s="89" t="n">
        <x:v>2540</x:v>
      </x:c>
      <x:c r="N44" s="89" t="n">
        <x:v>0</x:v>
      </x:c>
      <x:c r="O44" s="89" t="n">
        <x:f>M44+N44</x:f>
        <x:v>2540</x:v>
      </x:c>
      <x:c r="P44" s="88" t="str">
        <x:f>IF(O44&lt;5000,"是","否")</x:f>
        <x:v>是</x:v>
      </x:c>
      <x:c r="Q44" s="90" t="str">
        <x:v>国内经济舱通常含20kg；出票前须按实际票价等级复核</x:v>
      </x:c>
      <x:c r="R44" s="90" t="str">
        <x:v>该去程对应的最低可订返程组合；具体返程航班需打开来源链接确认</x:v>
      </x:c>
      <x:c r="S44" s="91" t="n">
        <x:v>46267.746032905095</x:v>
      </x:c>
      <x:c r="T44" s="92" t="str">
        <x:v>https://www.google.com/travel/flights?hl=zh-CN&amp;curr=CNY&amp;q=Flights%20from%20Chongqing%20to%20Kunming%20from%202026-10-02%20to%202026-10-06</x:v>
      </x:c>
      <x:c r="U44" s="136" t="n">
        <x:v>46301</x:v>
      </x:c>
      <x:c r="V44" s="90" t="str">
        <x:v>22:05</x:v>
      </x:c>
      <x:c r="W44" s="90" t="str">
        <x:v>昆明长水国际机场</x:v>
      </x:c>
      <x:c r="X44" s="137" t="n">
        <x:v>46301</x:v>
      </x:c>
      <x:c r="Y44" s="90" t="str">
        <x:v>23:50</x:v>
      </x:c>
      <x:c r="Z44" s="90" t="str">
        <x:v>重庆江北国际机场</x:v>
      </x:c>
      <x:c r="AA44" s="90" t="str">
        <x:v>重航</x:v>
      </x:c>
      <x:c r="AB44" s="90" t="n">
        <x:v>0</x:v>
      </x:c>
      <x:c r="AC44" s="90" t="str">
        <x:v>1 小时 45 分钟</x:v>
      </x:c>
      <x:c r="AD44" s="138"/>
      <x:c r="AE44" s="90" t="str">
        <x:v>当前返程列表无价格，采用排序第一条</x:v>
      </x:c>
      <x:c r="AF44" s="92" t="str">
        <x:v>https://www.google.com/travel/flights/search?tfs=CBwQAhpMEgoyMDI2LTEwLTAyIiAKA0NLRxIKMjAyNi0xMC0wMhoDS01HKgJPUTIEMjExOWoNCAISCS9tLzAxNzIzNnINCAISCS9tLzAxYzA2ZBoqEgoyMDI2LTEwLTA2ag0IAhIJL20vMDFjMDZkcg0IAhIJL20vMDE3MjM2QAFIAXABggELCP___________wGYAQE&amp;tfu=ClhDalJJVTFCd2FUaFNTbWhxVTBsQlJWZGphbmRDUnkwdExTMHRMUzB0YzIxck1TMXVNVUZCUVVGQlIzRlpSRW93UmxOTlEzZEJFZ1pQVVRJeE1UazRIUT09EgIIACIA&amp;hl=zh-CN&amp;curr=CNY</x:v>
      </x:c>
    </x:row>
    <x:row r="45" ht="42" customHeight="1">
      <x:c r="A45" s="85" t="n">
        <x:f>ROW()-7</x:f>
        <x:v>38</x:v>
      </x:c>
      <x:c r="B45" s="86" t="n">
        <x:v>46297</x:v>
      </x:c>
      <x:c r="C45" s="86" t="n">
        <x:v>46302</x:v>
      </x:c>
      <x:c r="D45" s="87" t="n">
        <x:v>5</x:v>
      </x:c>
      <x:c r="E45" s="88" t="str">
        <x:v>南航</x:v>
      </x:c>
      <x:c r="F45" s="88" t="str">
        <x:v>19:30</x:v>
      </x:c>
      <x:c r="G45" s="88" t="str">
        <x:v>21:00</x:v>
      </x:c>
      <x:c r="H45" s="88" t="str">
        <x:v>重庆江北国际机场</x:v>
      </x:c>
      <x:c r="I45" s="88" t="str">
        <x:v>昆明长水国际机场</x:v>
      </x:c>
      <x:c r="J45" s="88" t="n">
        <x:v>0</x:v>
      </x:c>
      <x:c r="K45" s="88" t="str">
        <x:v>—</x:v>
      </x:c>
      <x:c r="L45" s="88" t="str">
        <x:v>1 小时 30 分钟</x:v>
      </x:c>
      <x:c r="M45" s="89" t="n">
        <x:v>2540</x:v>
      </x:c>
      <x:c r="N45" s="89" t="n">
        <x:v>0</x:v>
      </x:c>
      <x:c r="O45" s="89" t="n">
        <x:f>M45+N45</x:f>
        <x:v>2540</x:v>
      </x:c>
      <x:c r="P45" s="88" t="str">
        <x:f>IF(O45&lt;5000,"是","否")</x:f>
        <x:v>是</x:v>
      </x:c>
      <x:c r="Q45" s="90" t="str">
        <x:v>国内经济舱通常含20kg；出票前须按实际票价等级复核</x:v>
      </x:c>
      <x:c r="R45" s="90" t="str">
        <x:v>该去程对应的最低可订返程组合；具体返程航班需打开来源链接确认</x:v>
      </x:c>
      <x:c r="S45" s="91" t="n">
        <x:v>46267.746032905095</x:v>
      </x:c>
      <x:c r="T45" s="92" t="str">
        <x:v>https://www.google.com/travel/flights?hl=zh-CN&amp;curr=CNY&amp;q=Flights%20from%20Chongqing%20to%20Kunming%20from%202026-10-02%20to%202026-10-07</x:v>
      </x:c>
      <x:c r="U45" s="136" t="n">
        <x:v>46302</x:v>
      </x:c>
      <x:c r="V45" s="90" t="str">
        <x:v>22:05</x:v>
      </x:c>
      <x:c r="W45" s="90" t="str">
        <x:v>昆明长水国际机场</x:v>
      </x:c>
      <x:c r="X45" s="137" t="n">
        <x:v>46302</x:v>
      </x:c>
      <x:c r="Y45" s="90" t="str">
        <x:v>23:50</x:v>
      </x:c>
      <x:c r="Z45" s="90" t="str">
        <x:v>重庆江北国际机场</x:v>
      </x:c>
      <x:c r="AA45" s="90" t="str">
        <x:v>重航</x:v>
      </x:c>
      <x:c r="AB45" s="90" t="n">
        <x:v>0</x:v>
      </x:c>
      <x:c r="AC45" s="90" t="str">
        <x:v>1 小时 45 分钟</x:v>
      </x:c>
      <x:c r="AD45" s="138"/>
      <x:c r="AE45" s="90" t="str">
        <x:v>当前返程列表无价格，采用排序第一条</x:v>
      </x:c>
      <x:c r="AF45" s="92" t="str">
        <x:v>https://www.google.com/travel/flights/search?tfs=CBwQAhpMEgoyMDI2LTEwLTAyIiAKA0NLRxIKMjAyNi0xMC0wMhoDS01HKgJPUTIEMjExOWoNCAISCS9tLzAxNzIzNnINCAISCS9tLzAxYzA2ZBoqEgoyMDI2LTEwLTA3ag0IAhIJL20vMDFjMDZkcg0IAhIJL20vMDE3MjM2QAFIAXABggELCP___________wGYAQE&amp;tfu=ClhDalJJYTBKcFduQjNPRU4zUjFGQlJYTnpZbmRDUnkwdExTMHRMWE5sY0dReE1TMXVNVUZCUVVGQlIzRlpSRW93UlU5R1IwZEJFZ1pQVVRJeE1UazRIUT09EgIIACIA&amp;hl=zh-CN&amp;curr=CNY</x:v>
      </x:c>
    </x:row>
    <x:row r="46" ht="42" customHeight="1">
      <x:c r="A46" s="85" t="n">
        <x:f>ROW()-7</x:f>
        <x:v>39</x:v>
      </x:c>
      <x:c r="B46" s="86" t="n">
        <x:v>46297</x:v>
      </x:c>
      <x:c r="C46" s="86" t="n">
        <x:v>46303</x:v>
      </x:c>
      <x:c r="D46" s="87" t="n">
        <x:v>6</x:v>
      </x:c>
      <x:c r="E46" s="88" t="str">
        <x:v>南航</x:v>
      </x:c>
      <x:c r="F46" s="88" t="str">
        <x:v>19:30</x:v>
      </x:c>
      <x:c r="G46" s="88" t="str">
        <x:v>21:00</x:v>
      </x:c>
      <x:c r="H46" s="88" t="str">
        <x:v>重庆江北国际机场</x:v>
      </x:c>
      <x:c r="I46" s="88" t="str">
        <x:v>昆明长水国际机场</x:v>
      </x:c>
      <x:c r="J46" s="88" t="n">
        <x:v>0</x:v>
      </x:c>
      <x:c r="K46" s="88" t="str">
        <x:v>—</x:v>
      </x:c>
      <x:c r="L46" s="88" t="str">
        <x:v>1 小时 30 分钟</x:v>
      </x:c>
      <x:c r="M46" s="89" t="n">
        <x:v>2540</x:v>
      </x:c>
      <x:c r="N46" s="89" t="n">
        <x:v>0</x:v>
      </x:c>
      <x:c r="O46" s="89" t="n">
        <x:f>M46+N46</x:f>
        <x:v>2540</x:v>
      </x:c>
      <x:c r="P46" s="88" t="str">
        <x:f>IF(O46&lt;5000,"是","否")</x:f>
        <x:v>是</x:v>
      </x:c>
      <x:c r="Q46" s="90" t="str">
        <x:v>国内经济舱通常含20kg；出票前须按实际票价等级复核</x:v>
      </x:c>
      <x:c r="R46" s="90" t="str">
        <x:v>该去程对应的最低可订返程组合；具体返程航班需打开来源链接确认</x:v>
      </x:c>
      <x:c r="S46" s="91" t="n">
        <x:v>46267.746032905095</x:v>
      </x:c>
      <x:c r="T46" s="92" t="str">
        <x:v>https://www.google.com/travel/flights?hl=zh-CN&amp;curr=CNY&amp;q=Flights%20from%20Chongqing%20to%20Kunming%20from%202026-10-02%20to%202026-10-08</x:v>
      </x:c>
      <x:c r="U46" s="136" t="n">
        <x:v>46303</x:v>
      </x:c>
      <x:c r="V46" s="90" t="str">
        <x:v>22:05</x:v>
      </x:c>
      <x:c r="W46" s="90" t="str">
        <x:v>昆明长水国际机场</x:v>
      </x:c>
      <x:c r="X46" s="137" t="n">
        <x:v>46303</x:v>
      </x:c>
      <x:c r="Y46" s="90" t="str">
        <x:v>23:50</x:v>
      </x:c>
      <x:c r="Z46" s="90" t="str">
        <x:v>重庆江北国际机场</x:v>
      </x:c>
      <x:c r="AA46" s="90" t="str">
        <x:v>重航</x:v>
      </x:c>
      <x:c r="AB46" s="90" t="n">
        <x:v>0</x:v>
      </x:c>
      <x:c r="AC46" s="90" t="str">
        <x:v>1 小时 45 分钟</x:v>
      </x:c>
      <x:c r="AD46" s="138"/>
      <x:c r="AE46" s="90" t="str">
        <x:v>当前返程列表无价格，采用排序第一条</x:v>
      </x:c>
      <x:c r="AF46" s="92" t="str">
        <x:v>https://www.google.com/travel/flights/search?tfs=CBwQAhpMEgoyMDI2LTEwLTAyIiAKA0NLRxIKMjAyNi0xMC0wMhoDS01HKgJPUTIEMjExOWoNCAISCS9tLzAxNzIzNnINCAISCS9tLzAxYzA2ZBoqEgoyMDI2LTEwLTA4ag0IAhIJL20vMDFjMDZkcg0IAhIJL20vMDE3MjM2QAFIAXABggELCP___________wGYAQE&amp;tfu=ClhDalJJUjJOcVVEZzBWMGRIYlVWQlJXOWphVkZDUnkwdExTMHRMUzB0YzJWaVluVXpOVUZCUVVGQlIzRlpSRW93UXpGcldFbEJFZ1pQVVRJeE1UazRIUT09EgIIACIA&amp;hl=zh-CN&amp;curr=CNY</x:v>
      </x:c>
    </x:row>
    <x:row r="47" ht="42" customHeight="1">
      <x:c r="A47" s="85" t="n">
        <x:f>ROW()-7</x:f>
        <x:v>40</x:v>
      </x:c>
      <x:c r="B47" s="86" t="n">
        <x:v>46297</x:v>
      </x:c>
      <x:c r="C47" s="86" t="n">
        <x:v>46304</x:v>
      </x:c>
      <x:c r="D47" s="87" t="n">
        <x:v>7</x:v>
      </x:c>
      <x:c r="E47" s="88" t="str">
        <x:v>南航</x:v>
      </x:c>
      <x:c r="F47" s="88" t="str">
        <x:v>19:30</x:v>
      </x:c>
      <x:c r="G47" s="88" t="str">
        <x:v>21:00</x:v>
      </x:c>
      <x:c r="H47" s="88" t="str">
        <x:v>重庆江北国际机场</x:v>
      </x:c>
      <x:c r="I47" s="88" t="str">
        <x:v>昆明长水国际机场</x:v>
      </x:c>
      <x:c r="J47" s="88" t="n">
        <x:v>0</x:v>
      </x:c>
      <x:c r="K47" s="88" t="str">
        <x:v>—</x:v>
      </x:c>
      <x:c r="L47" s="88" t="str">
        <x:v>1 小时 30 分钟</x:v>
      </x:c>
      <x:c r="M47" s="89" t="n">
        <x:v>2540</x:v>
      </x:c>
      <x:c r="N47" s="89" t="n">
        <x:v>0</x:v>
      </x:c>
      <x:c r="O47" s="89" t="n">
        <x:f>M47+N47</x:f>
        <x:v>2540</x:v>
      </x:c>
      <x:c r="P47" s="88" t="str">
        <x:f>IF(O47&lt;5000,"是","否")</x:f>
        <x:v>是</x:v>
      </x:c>
      <x:c r="Q47" s="90" t="str">
        <x:v>国内经济舱通常含20kg；出票前须按实际票价等级复核</x:v>
      </x:c>
      <x:c r="R47" s="90" t="str">
        <x:v>该去程对应的最低可订返程组合；具体返程航班需打开来源链接确认</x:v>
      </x:c>
      <x:c r="S47" s="91" t="n">
        <x:v>46267.746032905095</x:v>
      </x:c>
      <x:c r="T47" s="92" t="str">
        <x:v>https://www.google.com/travel/flights?hl=zh-CN&amp;curr=CNY&amp;q=Flights%20from%20Chongqing%20to%20Kunming%20from%202026-10-02%20to%202026-10-09</x:v>
      </x:c>
      <x:c r="U47" s="136" t="n">
        <x:v>46304</x:v>
      </x:c>
      <x:c r="V47" s="90" t="str">
        <x:v>22:05</x:v>
      </x:c>
      <x:c r="W47" s="90" t="str">
        <x:v>昆明长水国际机场</x:v>
      </x:c>
      <x:c r="X47" s="137" t="n">
        <x:v>46304</x:v>
      </x:c>
      <x:c r="Y47" s="90" t="str">
        <x:v>23:50</x:v>
      </x:c>
      <x:c r="Z47" s="90" t="str">
        <x:v>重庆江北国际机场</x:v>
      </x:c>
      <x:c r="AA47" s="90" t="str">
        <x:v>重航</x:v>
      </x:c>
      <x:c r="AB47" s="90" t="n">
        <x:v>0</x:v>
      </x:c>
      <x:c r="AC47" s="90" t="str">
        <x:v>1 小时 45 分钟</x:v>
      </x:c>
      <x:c r="AD47" s="138"/>
      <x:c r="AE47" s="90" t="str">
        <x:v>当前返程列表无价格，采用排序第一条</x:v>
      </x:c>
      <x:c r="AF47" s="92" t="str">
        <x:v>https://www.google.com/travel/flights/search?tfs=CBwQAhpMEgoyMDI2LTEwLTAyIiAKA0NLRxIKMjAyNi0xMC0wMhoDS01HKgJPUTIEMjExOWoNCAISCS9tLzAxNzIzNnINCAISCS9tLzAxYzA2ZBoqEgoyMDI2LTEwLTA5ag0IAhIJL20vMDFjMDZkcg0IAhIJL20vMDE3MjM2QAFIAXABggELCP___________wGYAQE&amp;tfu=ClhDalJJYzJVMFgxRk5PR1JrWVZsQlJESlhOVkZDUnkwdExTMHRMUzB0TFMxemJYUjVOa0ZCUVVGQlIzRlpSRW93UlhKTlpqWkJFZ1pQVVRJeE1UazRIUT09EgIIACIA&amp;hl=zh-CN&amp;curr=CNY</x:v>
      </x:c>
    </x:row>
    <x:row r="48" ht="42" customHeight="1">
      <x:c r="A48" s="85" t="n">
        <x:f>ROW()-7</x:f>
        <x:v>41</x:v>
      </x:c>
      <x:c r="B48" s="86" t="n">
        <x:v>46298</x:v>
      </x:c>
      <x:c r="C48" s="86" t="n">
        <x:v>46303</x:v>
      </x:c>
      <x:c r="D48" s="87" t="n">
        <x:v>5</x:v>
      </x:c>
      <x:c r="E48" s="88" t="str">
        <x:v>南航</x:v>
      </x:c>
      <x:c r="F48" s="88" t="str">
        <x:v>19:30</x:v>
      </x:c>
      <x:c r="G48" s="88" t="str">
        <x:v>21:00</x:v>
      </x:c>
      <x:c r="H48" s="88" t="str">
        <x:v>重庆江北国际机场</x:v>
      </x:c>
      <x:c r="I48" s="88" t="str">
        <x:v>昆明长水国际机场</x:v>
      </x:c>
      <x:c r="J48" s="88" t="n">
        <x:v>0</x:v>
      </x:c>
      <x:c r="K48" s="88" t="str">
        <x:v>—</x:v>
      </x:c>
      <x:c r="L48" s="88" t="str">
        <x:v>1 小时 30 分钟</x:v>
      </x:c>
      <x:c r="M48" s="89" t="n">
        <x:v>2540</x:v>
      </x:c>
      <x:c r="N48" s="89" t="n">
        <x:v>0</x:v>
      </x:c>
      <x:c r="O48" s="89" t="n">
        <x:f>M48+N48</x:f>
        <x:v>2540</x:v>
      </x:c>
      <x:c r="P48" s="88" t="str">
        <x:f>IF(O48&lt;5000,"是","否")</x:f>
        <x:v>是</x:v>
      </x:c>
      <x:c r="Q48" s="90" t="str">
        <x:v>国内经济舱通常含20kg；出票前须按实际票价等级复核</x:v>
      </x:c>
      <x:c r="R48" s="90" t="str">
        <x:v>该去程对应的最低可订返程组合；具体返程航班需打开来源链接确认</x:v>
      </x:c>
      <x:c r="S48" s="91" t="n">
        <x:v>46267.746032905095</x:v>
      </x:c>
      <x:c r="T48" s="92" t="str">
        <x:v>https://www.google.com/travel/flights?hl=zh-CN&amp;curr=CNY&amp;q=Flights%20from%20Chongqing%20to%20Kunming%20from%202026-10-03%20to%202026-10-08</x:v>
      </x:c>
      <x:c r="U48" s="136" t="n">
        <x:v>46303</x:v>
      </x:c>
      <x:c r="V48" s="90" t="str">
        <x:v>22:05</x:v>
      </x:c>
      <x:c r="W48" s="90" t="str">
        <x:v>昆明长水国际机场</x:v>
      </x:c>
      <x:c r="X48" s="137" t="n">
        <x:v>46303</x:v>
      </x:c>
      <x:c r="Y48" s="90" t="str">
        <x:v>23:50</x:v>
      </x:c>
      <x:c r="Z48" s="90" t="str">
        <x:v>重庆江北国际机场</x:v>
      </x:c>
      <x:c r="AA48" s="90" t="str">
        <x:v>重航</x:v>
      </x:c>
      <x:c r="AB48" s="90" t="n">
        <x:v>0</x:v>
      </x:c>
      <x:c r="AC48" s="90" t="str">
        <x:v>1 小时 45 分钟</x:v>
      </x:c>
      <x:c r="AD48" s="138"/>
      <x:c r="AE48" s="90" t="str">
        <x:v>当前返程列表无价格，采用排序第一条</x:v>
      </x:c>
      <x:c r="AF48" s="92" t="str">
        <x:v>https://www.google.com/travel/flights/search?tfs=CBwQAhpMEgoyMDI2LTEwLTAzIiAKA0NLRxIKMjAyNi0xMC0wMxoDS01HKgJPUTIEMjExOWoNCAISCS9tLzAxNzIzNnINCAISCS9tLzAxYzA2ZBoqEgoyMDI2LTEwLTA4ag0IAhIJL20vMDFjMDZkcg0IAhIJL20vMDE3MjM2QAFIAXABggELCP___________wGYAQE&amp;tfu=ClhDalJJYTBKcFduQjNPRU4zUjFGQlJYTjJTbmRDUnkwdExTMHRMWE5sY0dReE1TMXVNVUZCUVVGQlIzRlpSRXRWU0dGWFJpMUJFZ1pQVVRJeE1UazRIUT09EgIIACIA&amp;hl=zh-CN&amp;curr=CNY</x:v>
      </x:c>
    </x:row>
    <x:row r="49" ht="42" customHeight="1">
      <x:c r="A49" s="85" t="n">
        <x:f>ROW()-7</x:f>
        <x:v>42</x:v>
      </x:c>
      <x:c r="B49" s="86" t="n">
        <x:v>46298</x:v>
      </x:c>
      <x:c r="C49" s="86" t="n">
        <x:v>46304</x:v>
      </x:c>
      <x:c r="D49" s="87" t="n">
        <x:v>6</x:v>
      </x:c>
      <x:c r="E49" s="88" t="str">
        <x:v>南航</x:v>
      </x:c>
      <x:c r="F49" s="88" t="str">
        <x:v>19:30</x:v>
      </x:c>
      <x:c r="G49" s="88" t="str">
        <x:v>21:00</x:v>
      </x:c>
      <x:c r="H49" s="88" t="str">
        <x:v>重庆江北国际机场</x:v>
      </x:c>
      <x:c r="I49" s="88" t="str">
        <x:v>昆明长水国际机场</x:v>
      </x:c>
      <x:c r="J49" s="88" t="n">
        <x:v>0</x:v>
      </x:c>
      <x:c r="K49" s="88" t="str">
        <x:v>—</x:v>
      </x:c>
      <x:c r="L49" s="88" t="str">
        <x:v>1 小时 30 分钟</x:v>
      </x:c>
      <x:c r="M49" s="89" t="n">
        <x:v>2540</x:v>
      </x:c>
      <x:c r="N49" s="89" t="n">
        <x:v>0</x:v>
      </x:c>
      <x:c r="O49" s="89" t="n">
        <x:f>M49+N49</x:f>
        <x:v>2540</x:v>
      </x:c>
      <x:c r="P49" s="88" t="str">
        <x:f>IF(O49&lt;5000,"是","否")</x:f>
        <x:v>是</x:v>
      </x:c>
      <x:c r="Q49" s="90" t="str">
        <x:v>国内经济舱通常含20kg；出票前须按实际票价等级复核</x:v>
      </x:c>
      <x:c r="R49" s="90" t="str">
        <x:v>该去程对应的最低可订返程组合；具体返程航班需打开来源链接确认</x:v>
      </x:c>
      <x:c r="S49" s="91" t="n">
        <x:v>46267.746032905095</x:v>
      </x:c>
      <x:c r="T49" s="92" t="str">
        <x:v>https://www.google.com/travel/flights?hl=zh-CN&amp;curr=CNY&amp;q=Flights%20from%20Chongqing%20to%20Kunming%20from%202026-10-03%20to%202026-10-09</x:v>
      </x:c>
      <x:c r="U49" s="136" t="n">
        <x:v>46304</x:v>
      </x:c>
      <x:c r="V49" s="90" t="str">
        <x:v>22:05</x:v>
      </x:c>
      <x:c r="W49" s="90" t="str">
        <x:v>昆明长水国际机场</x:v>
      </x:c>
      <x:c r="X49" s="137" t="n">
        <x:v>46304</x:v>
      </x:c>
      <x:c r="Y49" s="90" t="str">
        <x:v>23:50</x:v>
      </x:c>
      <x:c r="Z49" s="90" t="str">
        <x:v>重庆江北国际机场</x:v>
      </x:c>
      <x:c r="AA49" s="90" t="str">
        <x:v>重航</x:v>
      </x:c>
      <x:c r="AB49" s="90" t="n">
        <x:v>0</x:v>
      </x:c>
      <x:c r="AC49" s="90" t="str">
        <x:v>1 小时 45 分钟</x:v>
      </x:c>
      <x:c r="AD49" s="138"/>
      <x:c r="AE49" s="90" t="str">
        <x:v>当前返程列表无价格，采用排序第一条</x:v>
      </x:c>
      <x:c r="AF49" s="92" t="str">
        <x:v>https://www.google.com/travel/flights/search?tfs=CBwQAhpMEgoyMDI2LTEwLTAzIiAKA0NLRxIKMjAyNi0xMC0wMxoDS01HKgJPUTIEMjExOWoNCAISCS9tLzAxNzIzNnINCAISCS9tLzAxYzA2ZBoqEgoyMDI2LTEwLTA5ag0IAhIJL20vMDFjMDZkcg0IAhIJL20vMDE3MjM2QAFIAXABggELCP___________wGYAQE&amp;tfu=ClhDalJJYlhCeE56bGlkak5LY1dkQlJEUkZkMEZDUnkwdExTMHRMUzF6YlhWNE9DMXVNa0ZCUVVGQlIzRlpSRXRqVFdkbldFZEJFZ1pQVVRJeE1UazRIQT09EgIIACIA&amp;hl=zh-CN&amp;curr=CNY</x:v>
      </x:c>
    </x:row>
    <x:row r="50" ht="42" customHeight="1">
      <x:c r="A50" s="85" t="n">
        <x:f>ROW()-7</x:f>
        <x:v>43</x:v>
      </x:c>
      <x:c r="B50" s="86" t="n">
        <x:v>46299</x:v>
      </x:c>
      <x:c r="C50" s="86" t="n">
        <x:v>46304</x:v>
      </x:c>
      <x:c r="D50" s="87" t="n">
        <x:v>5</x:v>
      </x:c>
      <x:c r="E50" s="88" t="str">
        <x:v>南航</x:v>
      </x:c>
      <x:c r="F50" s="88" t="str">
        <x:v>19:30</x:v>
      </x:c>
      <x:c r="G50" s="88" t="str">
        <x:v>21:00</x:v>
      </x:c>
      <x:c r="H50" s="88" t="str">
        <x:v>重庆江北国际机场</x:v>
      </x:c>
      <x:c r="I50" s="88" t="str">
        <x:v>昆明长水国际机场</x:v>
      </x:c>
      <x:c r="J50" s="88" t="n">
        <x:v>0</x:v>
      </x:c>
      <x:c r="K50" s="88" t="str">
        <x:v>—</x:v>
      </x:c>
      <x:c r="L50" s="88" t="str">
        <x:v>1 小时 30 分钟</x:v>
      </x:c>
      <x:c r="M50" s="89" t="n">
        <x:v>2540</x:v>
      </x:c>
      <x:c r="N50" s="89" t="n">
        <x:v>0</x:v>
      </x:c>
      <x:c r="O50" s="89" t="n">
        <x:f>M50+N50</x:f>
        <x:v>2540</x:v>
      </x:c>
      <x:c r="P50" s="88" t="str">
        <x:f>IF(O50&lt;5000,"是","否")</x:f>
        <x:v>是</x:v>
      </x:c>
      <x:c r="Q50" s="90" t="str">
        <x:v>国内经济舱通常含20kg；出票前须按实际票价等级复核</x:v>
      </x:c>
      <x:c r="R50" s="90" t="str">
        <x:v>该去程对应的最低可订返程组合；具体返程航班需打开来源链接确认</x:v>
      </x:c>
      <x:c r="S50" s="91" t="n">
        <x:v>46267.746032905095</x:v>
      </x:c>
      <x:c r="T50" s="92" t="str">
        <x:v>https://www.google.com/travel/flights?hl=zh-CN&amp;curr=CNY&amp;q=Flights%20from%20Chongqing%20to%20Kunming%20from%202026-10-04%20to%202026-10-09</x:v>
      </x:c>
      <x:c r="U50" s="136" t="n">
        <x:v>46304</x:v>
      </x:c>
      <x:c r="V50" s="90" t="str">
        <x:v>22:05</x:v>
      </x:c>
      <x:c r="W50" s="90" t="str">
        <x:v>昆明长水国际机场</x:v>
      </x:c>
      <x:c r="X50" s="137" t="n">
        <x:v>46304</x:v>
      </x:c>
      <x:c r="Y50" s="90" t="str">
        <x:v>23:50</x:v>
      </x:c>
      <x:c r="Z50" s="90" t="str">
        <x:v>重庆江北国际机场</x:v>
      </x:c>
      <x:c r="AA50" s="90" t="str">
        <x:v>重航</x:v>
      </x:c>
      <x:c r="AB50" s="90" t="n">
        <x:v>0</x:v>
      </x:c>
      <x:c r="AC50" s="90" t="str">
        <x:v>1 小时 45 分钟</x:v>
      </x:c>
      <x:c r="AD50" s="138"/>
      <x:c r="AE50" s="90" t="str">
        <x:v>当前返程列表无价格，采用排序第一条</x:v>
      </x:c>
      <x:c r="AF50" s="92" t="str">
        <x:v>https://www.google.com/travel/flights/search?tfs=CBwQAhpMEgoyMDI2LTEwLTA0IiAKA0NLRxIKMjAyNi0xMC0wNBoDS01HKgJPUTIEMjExOWoNCAISCS9tLzAxNzIzNnINCAISCS9tLzAxYzA2ZBoqEgoyMDI2LTEwLTA5ag0IAhIJL20vMDFjMDZkcg0IAhIJL20vMDE3MjM2QAFIAXABggELCP___________wGYAQE&amp;tfu=ClhDalJJVTFCd2FUaFNTbWhxVTBsQlJWZG5TSGRDUnkwdExTMHRMUzB0YzIxck1TMXVNVUZCUVVGQlIzRlpSRXRWUmtSc1pWRkJFZ1pQVVRJeE1UazRIUT09EgIIACIA&amp;hl=zh-CN&amp;curr=CNY</x:v>
      </x:c>
    </x:row>
    <x:row r="51" ht="42" customHeight="1">
      <x:c r="A51" s="85" t="n">
        <x:f>ROW()-7</x:f>
        <x:v>44</x:v>
      </x:c>
      <x:c r="B51" s="86" t="n">
        <x:v>46300</x:v>
      </x:c>
      <x:c r="C51" s="86" t="n">
        <x:v>46304</x:v>
      </x:c>
      <x:c r="D51" s="87" t="n">
        <x:v>4</x:v>
      </x:c>
      <x:c r="E51" s="88" t="str">
        <x:v>南航</x:v>
      </x:c>
      <x:c r="F51" s="88" t="str">
        <x:v>19:30</x:v>
      </x:c>
      <x:c r="G51" s="88" t="str">
        <x:v>21:00</x:v>
      </x:c>
      <x:c r="H51" s="88" t="str">
        <x:v>重庆江北国际机场</x:v>
      </x:c>
      <x:c r="I51" s="88" t="str">
        <x:v>昆明长水国际机场</x:v>
      </x:c>
      <x:c r="J51" s="88" t="n">
        <x:v>0</x:v>
      </x:c>
      <x:c r="K51" s="88" t="str">
        <x:v>—</x:v>
      </x:c>
      <x:c r="L51" s="88" t="str">
        <x:v>1 小时 30 分钟</x:v>
      </x:c>
      <x:c r="M51" s="89" t="n">
        <x:v>2540</x:v>
      </x:c>
      <x:c r="N51" s="89" t="n">
        <x:v>0</x:v>
      </x:c>
      <x:c r="O51" s="89" t="n">
        <x:f>M51+N51</x:f>
        <x:v>2540</x:v>
      </x:c>
      <x:c r="P51" s="88" t="str">
        <x:f>IF(O51&lt;5000,"是","否")</x:f>
        <x:v>是</x:v>
      </x:c>
      <x:c r="Q51" s="90" t="str">
        <x:v>国内经济舱通常含20kg；出票前须按实际票价等级复核</x:v>
      </x:c>
      <x:c r="R51" s="90" t="str">
        <x:v>该去程对应的最低可订返程组合；具体返程航班需打开来源链接确认</x:v>
      </x:c>
      <x:c r="S51" s="91" t="n">
        <x:v>46267.746032905095</x:v>
      </x:c>
      <x:c r="T51" s="92" t="str">
        <x:v>https://www.google.com/travel/flights?hl=zh-CN&amp;curr=CNY&amp;q=Flights%20from%20Chongqing%20to%20Kunming%20from%202026-10-05%20to%202026-10-09</x:v>
      </x:c>
      <x:c r="U51" s="136" t="n">
        <x:v>46304</x:v>
      </x:c>
      <x:c r="V51" s="90" t="str">
        <x:v>22:05</x:v>
      </x:c>
      <x:c r="W51" s="90" t="str">
        <x:v>昆明长水国际机场</x:v>
      </x:c>
      <x:c r="X51" s="137" t="n">
        <x:v>46304</x:v>
      </x:c>
      <x:c r="Y51" s="90" t="str">
        <x:v>23:50</x:v>
      </x:c>
      <x:c r="Z51" s="90" t="str">
        <x:v>重庆江北国际机场</x:v>
      </x:c>
      <x:c r="AA51" s="90" t="str">
        <x:v>重航</x:v>
      </x:c>
      <x:c r="AB51" s="90" t="n">
        <x:v>0</x:v>
      </x:c>
      <x:c r="AC51" s="90" t="str">
        <x:v>1 小时 45 分钟</x:v>
      </x:c>
      <x:c r="AD51" s="138"/>
      <x:c r="AE51" s="90" t="str">
        <x:v>当前返程列表无价格，采用排序第一条</x:v>
      </x:c>
      <x:c r="AF51" s="92" t="str">
        <x:v>https://www.google.com/travel/flights/search?tfs=CBwQAhpMEgoyMDI2LTEwLTA1IiAKA0NLRxIKMjAyNi0xMC0wNRoDS01HKgJPUTIEMjExOWoNCAISCS9tLzAxNzIzNnINCAISCS9tLzAxYzA2ZBoqEgoyMDI2LTEwLTA5ag0IAhIJL20vMDFjMDZkcg0IAhIJL20vMDE3MjM2QAFIAXABggELCP___________wGYAQE&amp;tfu=ClhDalJJUldWVWVrOVRPSFJGVkRCQlJWZENUa0ZDUnkwdExTMHRMUzB0TFhObFoyY3lOMEZCUVVGQlIzRlpSRXRWUmxGcGQyVkJFZ1pQVVRJeE1UazRIUT09EgIIACIA&amp;hl=zh-CN&amp;curr=CNY</x:v>
      </x:c>
    </x:row>
    <x:row r="52" ht="42" customHeight="1">
      <x:c r="A52" s="85" t="n">
        <x:f>ROW()-7</x:f>
        <x:v>45</x:v>
      </x:c>
      <x:c r="B52" s="86" t="n">
        <x:v>46296</x:v>
      </x:c>
      <x:c r="C52" s="86" t="n">
        <x:v>46300</x:v>
      </x:c>
      <x:c r="D52" s="87" t="n">
        <x:v>4</x:v>
      </x:c>
      <x:c r="E52" s="88" t="str">
        <x:v>东航</x:v>
      </x:c>
      <x:c r="F52" s="88" t="str">
        <x:v>06:40</x:v>
      </x:c>
      <x:c r="G52" s="88" t="str">
        <x:v>08:20</x:v>
      </x:c>
      <x:c r="H52" s="88" t="str">
        <x:v>重庆江北国际机场</x:v>
      </x:c>
      <x:c r="I52" s="88" t="str">
        <x:v>昆明长水国际机场</x:v>
      </x:c>
      <x:c r="J52" s="88" t="n">
        <x:v>0</x:v>
      </x:c>
      <x:c r="K52" s="88" t="str">
        <x:v>—</x:v>
      </x:c>
      <x:c r="L52" s="88" t="str">
        <x:v>1 小时 40 分钟</x:v>
      </x:c>
      <x:c r="M52" s="89" t="n">
        <x:v>2681</x:v>
      </x:c>
      <x:c r="N52" s="89" t="n">
        <x:v>0</x:v>
      </x:c>
      <x:c r="O52" s="89" t="n">
        <x:f>M52+N52</x:f>
        <x:v>2681</x:v>
      </x:c>
      <x:c r="P52" s="88" t="str">
        <x:f>IF(O52&lt;5000,"是","否")</x:f>
        <x:v>是</x:v>
      </x:c>
      <x:c r="Q52" s="90" t="str">
        <x:v>国内经济舱通常含20kg；出票前须按实际票价等级复核</x:v>
      </x:c>
      <x:c r="R52" s="90" t="str">
        <x:v>该去程对应的最低可订返程组合；具体返程航班需打开来源链接确认</x:v>
      </x:c>
      <x:c r="S52" s="91" t="n">
        <x:v>46267.746032905095</x:v>
      </x:c>
      <x:c r="T52" s="92" t="str">
        <x:v>https://www.google.com/travel/flights?hl=zh-CN&amp;curr=CNY&amp;q=Flights%20from%20Chongqing%20to%20Kunming%20from%202026-10-01%20to%202026-10-05</x:v>
      </x:c>
      <x:c r="U52" s="136" t="n">
        <x:v>46300</x:v>
      </x:c>
      <x:c r="V52" s="90" t="str">
        <x:v>07:05</x:v>
      </x:c>
      <x:c r="W52" s="90" t="str">
        <x:v>昆明长水国际机场</x:v>
      </x:c>
      <x:c r="X52" s="137" t="n">
        <x:v>46300</x:v>
      </x:c>
      <x:c r="Y52" s="90" t="str">
        <x:v>08:35</x:v>
      </x:c>
      <x:c r="Z52" s="90" t="str">
        <x:v>重庆江北国际机场</x:v>
      </x:c>
      <x:c r="AA52" s="90" t="str">
        <x:v>川航</x:v>
      </x:c>
      <x:c r="AB52" s="90" t="n">
        <x:v>0</x:v>
      </x:c>
      <x:c r="AC52" s="90" t="str">
        <x:v>1 小时 30 分钟</x:v>
      </x:c>
      <x:c r="AD52" s="138"/>
      <x:c r="AE52" s="90" t="str">
        <x:v>当前返程列表无价格，采用排序第一条</x:v>
      </x:c>
      <x:c r="AF52" s="92" t="str">
        <x:v>https://www.google.com/travel/flights/search?tfs=CBwQAhpMEgoyMDI2LTEwLTAxIiAKA0NLRxIKMjAyNi0xMC0wMRoDS01HKgJNVTIENTg2NmoNCAISCS9tLzAxNzIzNnINCAISCS9tLzAxYzA2ZBoqEgoyMDI2LTEwLTA1ag0IAhIJL20vMDFjMDZkcg0IAhIJL20vMDE3MjM2QAFIAXABggELCP___________wGYAQE&amp;tfu=CmxDalJJTlU5V1JHUmlTbE5GWkVsQlEySTFaRkZDUnkwdExTMHRMUzB0YzJWaVluRXlOa0ZCUVVGQlIzRlpSRXhCU2psRmVFTkJFZ1pOVlRVNE5qWWFDZ2o1RkJBQUdnTkRUbGs0SEhEVHR3ST0SAggAIgA&amp;hl=zh-CN&amp;curr=CNY</x:v>
      </x:c>
    </x:row>
    <x:row r="53" ht="42" customHeight="1">
      <x:c r="A53" s="85" t="n">
        <x:f>ROW()-7</x:f>
        <x:v>46</x:v>
      </x:c>
      <x:c r="B53" s="86" t="n">
        <x:v>46296</x:v>
      </x:c>
      <x:c r="C53" s="86" t="n">
        <x:v>46300</x:v>
      </x:c>
      <x:c r="D53" s="87" t="n">
        <x:v>4</x:v>
      </x:c>
      <x:c r="E53" s="88" t="str">
        <x:v>东航</x:v>
      </x:c>
      <x:c r="F53" s="88" t="str">
        <x:v>10:50</x:v>
      </x:c>
      <x:c r="G53" s="88" t="str">
        <x:v>12:25</x:v>
      </x:c>
      <x:c r="H53" s="88" t="str">
        <x:v>重庆江北国际机场</x:v>
      </x:c>
      <x:c r="I53" s="88" t="str">
        <x:v>昆明长水国际机场</x:v>
      </x:c>
      <x:c r="J53" s="88" t="n">
        <x:v>0</x:v>
      </x:c>
      <x:c r="K53" s="88" t="str">
        <x:v>—</x:v>
      </x:c>
      <x:c r="L53" s="88" t="str">
        <x:v>1 小时 35 分钟</x:v>
      </x:c>
      <x:c r="M53" s="89" t="n">
        <x:v>2681</x:v>
      </x:c>
      <x:c r="N53" s="89" t="n">
        <x:v>0</x:v>
      </x:c>
      <x:c r="O53" s="89" t="n">
        <x:f>M53+N53</x:f>
        <x:v>2681</x:v>
      </x:c>
      <x:c r="P53" s="88" t="str">
        <x:f>IF(O53&lt;5000,"是","否")</x:f>
        <x:v>是</x:v>
      </x:c>
      <x:c r="Q53" s="90" t="str">
        <x:v>国内经济舱通常含20kg；出票前须按实际票价等级复核</x:v>
      </x:c>
      <x:c r="R53" s="90" t="str">
        <x:v>该去程对应的最低可订返程组合；具体返程航班需打开来源链接确认</x:v>
      </x:c>
      <x:c r="S53" s="91" t="n">
        <x:v>46267.746032905095</x:v>
      </x:c>
      <x:c r="T53" s="92" t="str">
        <x:v>https://www.google.com/travel/flights?hl=zh-CN&amp;curr=CNY&amp;q=Flights%20from%20Chongqing%20to%20Kunming%20from%202026-10-01%20to%202026-10-05</x:v>
      </x:c>
      <x:c r="U53" s="136" t="n">
        <x:v>46300</x:v>
      </x:c>
      <x:c r="V53" s="90" t="str">
        <x:v>07:05</x:v>
      </x:c>
      <x:c r="W53" s="90" t="str">
        <x:v>昆明长水国际机场</x:v>
      </x:c>
      <x:c r="X53" s="137" t="n">
        <x:v>46300</x:v>
      </x:c>
      <x:c r="Y53" s="90" t="str">
        <x:v>08:35</x:v>
      </x:c>
      <x:c r="Z53" s="90" t="str">
        <x:v>重庆江北国际机场</x:v>
      </x:c>
      <x:c r="AA53" s="90" t="str">
        <x:v>川航</x:v>
      </x:c>
      <x:c r="AB53" s="90" t="n">
        <x:v>0</x:v>
      </x:c>
      <x:c r="AC53" s="90" t="str">
        <x:v>1 小时 30 分钟</x:v>
      </x:c>
      <x:c r="AD53" s="138"/>
      <x:c r="AE53" s="90" t="str">
        <x:v>当前返程列表无价格，采用排序第一条</x:v>
      </x:c>
      <x:c r="AF53" s="92" t="str">
        <x:v>https://www.google.com/travel/flights/search?tfs=CBwQAhpMEgoyMDI2LTEwLTAxIiAKA0NLRxIKMjAyNi0xMC0wMRoDS01HKgJNVTIENTg2NmoNCAISCS9tLzAxNzIzNnINCAISCS9tLzAxYzA2ZBoqEgoyMDI2LTEwLTA1ag0IAhIJL20vMDFjMDZkcg0IAhIJL20vMDE3MjM2QAFIAXABggELCP___________wGYAQE&amp;tfu=CmxDalJJVGxGb1IzSTNiM1ZaTUVsQlJXcG9VSGRDUnkwdExTMHRMUzB0TFhObGRYVXlNa0ZCUVVGQlIzRlpSRXhCUVZKa1ltOUJFZ1pOVlRVNE5qWWFDZ2o1RkJBQUdnTkRUbGs0SEhEVHR3ST0SAggAIgA&amp;hl=zh-CN&amp;curr=CNY</x:v>
      </x:c>
    </x:row>
    <x:row r="54" ht="42" customHeight="1">
      <x:c r="A54" s="85" t="n">
        <x:f>ROW()-7</x:f>
        <x:v>47</x:v>
      </x:c>
      <x:c r="B54" s="86" t="n">
        <x:v>46296</x:v>
      </x:c>
      <x:c r="C54" s="86" t="n">
        <x:v>46300</x:v>
      </x:c>
      <x:c r="D54" s="87" t="n">
        <x:v>4</x:v>
      </x:c>
      <x:c r="E54" s="88" t="str">
        <x:v>东航</x:v>
      </x:c>
      <x:c r="F54" s="88" t="str">
        <x:v>15:30</x:v>
      </x:c>
      <x:c r="G54" s="88" t="str">
        <x:v>16:50</x:v>
      </x:c>
      <x:c r="H54" s="88" t="str">
        <x:v>重庆江北国际机场</x:v>
      </x:c>
      <x:c r="I54" s="88" t="str">
        <x:v>昆明长水国际机场</x:v>
      </x:c>
      <x:c r="J54" s="88" t="n">
        <x:v>0</x:v>
      </x:c>
      <x:c r="K54" s="88" t="str">
        <x:v>—</x:v>
      </x:c>
      <x:c r="L54" s="88" t="str">
        <x:v>1 小时 20 分钟</x:v>
      </x:c>
      <x:c r="M54" s="89" t="n">
        <x:v>2681</x:v>
      </x:c>
      <x:c r="N54" s="89" t="n">
        <x:v>0</x:v>
      </x:c>
      <x:c r="O54" s="89" t="n">
        <x:f>M54+N54</x:f>
        <x:v>2681</x:v>
      </x:c>
      <x:c r="P54" s="88" t="str">
        <x:f>IF(O54&lt;5000,"是","否")</x:f>
        <x:v>是</x:v>
      </x:c>
      <x:c r="Q54" s="90" t="str">
        <x:v>国内经济舱通常含20kg；出票前须按实际票价等级复核</x:v>
      </x:c>
      <x:c r="R54" s="90" t="str">
        <x:v>该去程对应的最低可订返程组合；具体返程航班需打开来源链接确认</x:v>
      </x:c>
      <x:c r="S54" s="91" t="n">
        <x:v>46267.746032905095</x:v>
      </x:c>
      <x:c r="T54" s="92" t="str">
        <x:v>https://www.google.com/travel/flights?hl=zh-CN&amp;curr=CNY&amp;q=Flights%20from%20Chongqing%20to%20Kunming%20from%202026-10-01%20to%202026-10-05</x:v>
      </x:c>
      <x:c r="U54" s="136" t="n">
        <x:v>46300</x:v>
      </x:c>
      <x:c r="V54" s="90" t="str">
        <x:v>22:05</x:v>
      </x:c>
      <x:c r="W54" s="90" t="str">
        <x:v>昆明长水国际机场</x:v>
      </x:c>
      <x:c r="X54" s="137" t="n">
        <x:v>46300</x:v>
      </x:c>
      <x:c r="Y54" s="90" t="str">
        <x:v>23:50</x:v>
      </x:c>
      <x:c r="Z54" s="90" t="str">
        <x:v>重庆江北国际机场</x:v>
      </x:c>
      <x:c r="AA54" s="90" t="str">
        <x:v>南航</x:v>
      </x:c>
      <x:c r="AB54" s="90" t="n">
        <x:v>0</x:v>
      </x:c>
      <x:c r="AC54" s="90" t="str">
        <x:v>1 小时 45 分钟</x:v>
      </x:c>
      <x:c r="AD54" s="138" t="n">
        <x:v>2540</x:v>
      </x:c>
      <x:c r="AE54" s="90" t="str">
        <x:v>当前价格已变化，采用当前最低价返程</x:v>
      </x:c>
      <x:c r="AF54" s="92" t="str">
        <x:v>https://www.google.com/travel/flights/search?tfs=CBwQAhpMEgoyMDI2LTEwLTAxIiAKA0NLRxIKMjAyNi0xMC0wMRoDS01HKgJDWjIEMjExOWoNCAISCS9tLzAxNzIzNnINCAISCS9tLzAxYzA2ZBoqEgoyMDI2LTEwLTA1ag0IAhIJL20vMDFjMDZkcg0IAhIJL20vMDE3MjM2QAFIAXABggELCP___________wGYAQE&amp;tfu=CmxDalJJUjJOcVVEZzBWMGRIYlVWQlJXOXJaRUZDUnkwdExTMHRMUzB0YzJWaVluVXpOVUZCUVVGQlIzRlpSRXhCU1VGcmEwMUJFZ1pEV2pJeE1Ua2FDZ2pzRXhBQUdnTkRUbGs0SEhDaHB3ST0SAggAIgMKATA&amp;hl=zh-CN&amp;curr=CNY</x:v>
      </x:c>
    </x:row>
    <x:row r="55" ht="42" customHeight="1">
      <x:c r="A55" s="85" t="n">
        <x:f>ROW()-7</x:f>
        <x:v>48</x:v>
      </x:c>
      <x:c r="B55" s="86" t="n">
        <x:v>46297</x:v>
      </x:c>
      <x:c r="C55" s="86" t="n">
        <x:v>46301</x:v>
      </x:c>
      <x:c r="D55" s="87" t="n">
        <x:v>4</x:v>
      </x:c>
      <x:c r="E55" s="88" t="str">
        <x:v>东航</x:v>
      </x:c>
      <x:c r="F55" s="88" t="str">
        <x:v>06:40</x:v>
      </x:c>
      <x:c r="G55" s="88" t="str">
        <x:v>08:20</x:v>
      </x:c>
      <x:c r="H55" s="88" t="str">
        <x:v>重庆江北国际机场</x:v>
      </x:c>
      <x:c r="I55" s="88" t="str">
        <x:v>昆明长水国际机场</x:v>
      </x:c>
      <x:c r="J55" s="88" t="n">
        <x:v>0</x:v>
      </x:c>
      <x:c r="K55" s="88" t="str">
        <x:v>—</x:v>
      </x:c>
      <x:c r="L55" s="88" t="str">
        <x:v>1 小时 40 分钟</x:v>
      </x:c>
      <x:c r="M55" s="89" t="n">
        <x:v>2681</x:v>
      </x:c>
      <x:c r="N55" s="89" t="n">
        <x:v>0</x:v>
      </x:c>
      <x:c r="O55" s="89" t="n">
        <x:f>M55+N55</x:f>
        <x:v>2681</x:v>
      </x:c>
      <x:c r="P55" s="88" t="str">
        <x:f>IF(O55&lt;5000,"是","否")</x:f>
        <x:v>是</x:v>
      </x:c>
      <x:c r="Q55" s="90" t="str">
        <x:v>国内经济舱通常含20kg；出票前须按实际票价等级复核</x:v>
      </x:c>
      <x:c r="R55" s="90" t="str">
        <x:v>该去程对应的最低可订返程组合；具体返程航班需打开来源链接确认</x:v>
      </x:c>
      <x:c r="S55" s="91" t="n">
        <x:v>46267.746032905095</x:v>
      </x:c>
      <x:c r="T55" s="92" t="str">
        <x:v>https://www.google.com/travel/flights?hl=zh-CN&amp;curr=CNY&amp;q=Flights%20from%20Chongqing%20to%20Kunming%20from%202026-10-02%20to%202026-10-06</x:v>
      </x:c>
      <x:c r="U55" s="136" t="n">
        <x:v>46301</x:v>
      </x:c>
      <x:c r="V55" s="90" t="str">
        <x:v>08:05</x:v>
      </x:c>
      <x:c r="W55" s="90" t="str">
        <x:v>昆明长水国际机场</x:v>
      </x:c>
      <x:c r="X55" s="137" t="n">
        <x:v>46301</x:v>
      </x:c>
      <x:c r="Y55" s="90" t="str">
        <x:v>09:35</x:v>
      </x:c>
      <x:c r="Z55" s="90" t="str">
        <x:v>重庆江北国际机场</x:v>
      </x:c>
      <x:c r="AA55" s="90" t="str">
        <x:v>东航</x:v>
      </x:c>
      <x:c r="AB55" s="90" t="n">
        <x:v>0</x:v>
      </x:c>
      <x:c r="AC55" s="90" t="str">
        <x:v>1 小时 30 分钟</x:v>
      </x:c>
      <x:c r="AD55" s="138" t="n">
        <x:v>2681</x:v>
      </x:c>
      <x:c r="AE55" s="90" t="str">
        <x:v>匹配原始往返起价</x:v>
      </x:c>
      <x:c r="AF55" s="92" t="str">
        <x:v>https://www.google.com/travel/flights/search?tfs=CBwQAhpMEgoyMDI2LTEwLTAyIiAKA0NLRxIKMjAyNi0xMC0wMhoDS01HKgJNVTIENTQ0OWoNCAISCS9tLzAxNzIzNnINCAISCS9tLzAxYzA2ZBoqEgoyMDI2LTEwLTA2ag0IAhIJL20vMDFjMDZkcg0IAhIJL20vMDE3MjM2QAFIAXABggELCP___________wGYAQE&amp;tfu=CmxDalJJUldWVWVrOVRPSFJGVkRCQlJWZEZaSGRDUnkwdExTMHRMUzB0TFhObFoyY3lOMEZCUVVGQlIzRlpSRXhCUVcxa2JTMUJFZ1pOVlRVME5Ea2FDZ2o1RkJBQUdnTkRUbGs0SEhEVHR3ST0SAggAIgA&amp;hl=zh-CN&amp;curr=CNY</x:v>
      </x:c>
    </x:row>
    <x:row r="56" ht="42" customHeight="1">
      <x:c r="A56" s="85" t="n">
        <x:f>ROW()-7</x:f>
        <x:v>49</x:v>
      </x:c>
      <x:c r="B56" s="86" t="n">
        <x:v>46297</x:v>
      </x:c>
      <x:c r="C56" s="86" t="n">
        <x:v>46303</x:v>
      </x:c>
      <x:c r="D56" s="87" t="n">
        <x:v>6</x:v>
      </x:c>
      <x:c r="E56" s="88" t="str">
        <x:v>东航</x:v>
      </x:c>
      <x:c r="F56" s="88" t="str">
        <x:v>06:40</x:v>
      </x:c>
      <x:c r="G56" s="88" t="str">
        <x:v>08:20</x:v>
      </x:c>
      <x:c r="H56" s="88" t="str">
        <x:v>重庆江北国际机场</x:v>
      </x:c>
      <x:c r="I56" s="88" t="str">
        <x:v>昆明长水国际机场</x:v>
      </x:c>
      <x:c r="J56" s="88" t="n">
        <x:v>0</x:v>
      </x:c>
      <x:c r="K56" s="88" t="str">
        <x:v>—</x:v>
      </x:c>
      <x:c r="L56" s="88" t="str">
        <x:v>1 小时 40 分钟</x:v>
      </x:c>
      <x:c r="M56" s="89" t="n">
        <x:v>2681</x:v>
      </x:c>
      <x:c r="N56" s="89" t="n">
        <x:v>0</x:v>
      </x:c>
      <x:c r="O56" s="89" t="n">
        <x:f>M56+N56</x:f>
        <x:v>2681</x:v>
      </x:c>
      <x:c r="P56" s="88" t="str">
        <x:f>IF(O56&lt;5000,"是","否")</x:f>
        <x:v>是</x:v>
      </x:c>
      <x:c r="Q56" s="90" t="str">
        <x:v>国内经济舱通常含20kg；出票前须按实际票价等级复核</x:v>
      </x:c>
      <x:c r="R56" s="90" t="str">
        <x:v>该去程对应的最低可订返程组合；具体返程航班需打开来源链接确认</x:v>
      </x:c>
      <x:c r="S56" s="91" t="n">
        <x:v>46267.746032905095</x:v>
      </x:c>
      <x:c r="T56" s="92" t="str">
        <x:v>https://www.google.com/travel/flights?hl=zh-CN&amp;curr=CNY&amp;q=Flights%20from%20Chongqing%20to%20Kunming%20from%202026-10-02%20to%202026-10-08</x:v>
      </x:c>
      <x:c r="U56" s="136" t="n">
        <x:v>46303</x:v>
      </x:c>
      <x:c r="V56" s="90" t="str">
        <x:v>06:50</x:v>
      </x:c>
      <x:c r="W56" s="90" t="str">
        <x:v>昆明长水国际机场</x:v>
      </x:c>
      <x:c r="X56" s="137" t="n">
        <x:v>46303</x:v>
      </x:c>
      <x:c r="Y56" s="90" t="str">
        <x:v>08:25</x:v>
      </x:c>
      <x:c r="Z56" s="90" t="str">
        <x:v>重庆江北国际机场</x:v>
      </x:c>
      <x:c r="AA56" s="90" t="str">
        <x:v>川航</x:v>
      </x:c>
      <x:c r="AB56" s="90" t="n">
        <x:v>0</x:v>
      </x:c>
      <x:c r="AC56" s="90" t="str">
        <x:v>1 小时 35 分钟</x:v>
      </x:c>
      <x:c r="AD56" s="138"/>
      <x:c r="AE56" s="90" t="str">
        <x:v>当前返程列表无价格，采用排序第一条</x:v>
      </x:c>
      <x:c r="AF56" s="92" t="str">
        <x:v>https://www.google.com/travel/flights/search?tfs=CBwQAhpMEgoyMDI2LTEwLTAyIiAKA0NLRxIKMjAyNi0xMC0wMhoDS01HKgJNVTIENTQ0OWoNCAISCS9tLzAxNzIzNnINCAISCS9tLzAxYzA2ZBoqEgoyMDI2LTEwLTA4ag0IAhIJL20vMDFjMDZkcg0IAhIJL20vMDE3MjM2QAFIAXABggELCP___________wGYAQE&amp;tfu=CmxDalJJYjBOd1MydElWbTlpTW1OQlJIZFVaMEZDUnkwdExTMHRMWE50WTNkck55MXVNa0ZCUVVGQlIzRlpSRTFCVERCSmFFZEJFZ1pOVlRVME5Ea2FDZ2o0RkJBQUdnTkRUbGs0SEhERXR3ST0SAggAIgA&amp;hl=zh-CN&amp;curr=CNY</x:v>
      </x:c>
    </x:row>
    <x:row r="57" ht="42" customHeight="1">
      <x:c r="A57" s="85" t="n">
        <x:f>ROW()-7</x:f>
        <x:v>50</x:v>
      </x:c>
      <x:c r="B57" s="86" t="n">
        <x:v>46297</x:v>
      </x:c>
      <x:c r="C57" s="86" t="n">
        <x:v>46301</x:v>
      </x:c>
      <x:c r="D57" s="87" t="n">
        <x:v>4</x:v>
      </x:c>
      <x:c r="E57" s="88" t="str">
        <x:v>东航</x:v>
      </x:c>
      <x:c r="F57" s="88" t="str">
        <x:v>10:50</x:v>
      </x:c>
      <x:c r="G57" s="88" t="str">
        <x:v>12:25</x:v>
      </x:c>
      <x:c r="H57" s="88" t="str">
        <x:v>重庆江北国际机场</x:v>
      </x:c>
      <x:c r="I57" s="88" t="str">
        <x:v>昆明长水国际机场</x:v>
      </x:c>
      <x:c r="J57" s="88" t="n">
        <x:v>0</x:v>
      </x:c>
      <x:c r="K57" s="88" t="str">
        <x:v>—</x:v>
      </x:c>
      <x:c r="L57" s="88" t="str">
        <x:v>1 小时 35 分钟</x:v>
      </x:c>
      <x:c r="M57" s="89" t="n">
        <x:v>2681</x:v>
      </x:c>
      <x:c r="N57" s="89" t="n">
        <x:v>0</x:v>
      </x:c>
      <x:c r="O57" s="89" t="n">
        <x:f>M57+N57</x:f>
        <x:v>2681</x:v>
      </x:c>
      <x:c r="P57" s="88" t="str">
        <x:f>IF(O57&lt;5000,"是","否")</x:f>
        <x:v>是</x:v>
      </x:c>
      <x:c r="Q57" s="90" t="str">
        <x:v>国内经济舱通常含20kg；出票前须按实际票价等级复核</x:v>
      </x:c>
      <x:c r="R57" s="90" t="str">
        <x:v>该去程对应的最低可订返程组合；具体返程航班需打开来源链接确认</x:v>
      </x:c>
      <x:c r="S57" s="91" t="n">
        <x:v>46267.746032905095</x:v>
      </x:c>
      <x:c r="T57" s="92" t="str">
        <x:v>https://www.google.com/travel/flights?hl=zh-CN&amp;curr=CNY&amp;q=Flights%20from%20Chongqing%20to%20Kunming%20from%202026-10-02%20to%202026-10-06</x:v>
      </x:c>
      <x:c r="U57" s="136" t="n">
        <x:v>46301</x:v>
      </x:c>
      <x:c r="V57" s="90" t="str">
        <x:v>08:05</x:v>
      </x:c>
      <x:c r="W57" s="90" t="str">
        <x:v>昆明长水国际机场</x:v>
      </x:c>
      <x:c r="X57" s="137" t="n">
        <x:v>46301</x:v>
      </x:c>
      <x:c r="Y57" s="90" t="str">
        <x:v>09:35</x:v>
      </x:c>
      <x:c r="Z57" s="90" t="str">
        <x:v>重庆江北国际机场</x:v>
      </x:c>
      <x:c r="AA57" s="90" t="str">
        <x:v>东航</x:v>
      </x:c>
      <x:c r="AB57" s="90" t="n">
        <x:v>0</x:v>
      </x:c>
      <x:c r="AC57" s="90" t="str">
        <x:v>1 小时 30 分钟</x:v>
      </x:c>
      <x:c r="AD57" s="138"/>
      <x:c r="AE57" s="90" t="str">
        <x:v>当前返程列表无价格，采用排序第一条</x:v>
      </x:c>
      <x:c r="AF57" s="92" t="str">
        <x:v>https://www.google.com/travel/flights/search?tfs=CBwQAhpMEgoyMDI2LTEwLTAyIiAKA0NLRxIKMjAyNi0xMC0wMhoDS01HKgJNVTIENTg2NmoNCAISCS9tLzAxNzIzNnINCAISCS9tLzAxYzA2ZBoqEgoyMDI2LTEwLTA2ag0IAhIJL20vMDFjMDZkcg0IAhIJL20vMDE3MjM2QAFIAXABggELCP___________wGYAQE&amp;tfu=CmxDalJJTjI1cVh5MTFabXBWVjI5QlJXeE5lR2RDUnkwdExTMHRMWE5sZEc0eU5pMXVNVUZCUVVGQlIzRlpSRTFGUTNjM1JIbEJFZ1pOVlRVNE5qWWFDZ2pLRFJBQUdnTkRUbGs0SEhDRXlnRT0SBggAIAIoASIA&amp;hl=zh-CN&amp;curr=CNY</x:v>
      </x:c>
    </x:row>
    <x:row r="58" ht="42" customHeight="1">
      <x:c r="A58" s="85" t="n">
        <x:f>ROW()-7</x:f>
        <x:v>51</x:v>
      </x:c>
      <x:c r="B58" s="86" t="n">
        <x:v>46297</x:v>
      </x:c>
      <x:c r="C58" s="86" t="n">
        <x:v>46303</x:v>
      </x:c>
      <x:c r="D58" s="87" t="n">
        <x:v>6</x:v>
      </x:c>
      <x:c r="E58" s="88" t="str">
        <x:v>东航</x:v>
      </x:c>
      <x:c r="F58" s="88" t="str">
        <x:v>10:50</x:v>
      </x:c>
      <x:c r="G58" s="88" t="str">
        <x:v>12:25</x:v>
      </x:c>
      <x:c r="H58" s="88" t="str">
        <x:v>重庆江北国际机场</x:v>
      </x:c>
      <x:c r="I58" s="88" t="str">
        <x:v>昆明长水国际机场</x:v>
      </x:c>
      <x:c r="J58" s="88" t="n">
        <x:v>0</x:v>
      </x:c>
      <x:c r="K58" s="88" t="str">
        <x:v>—</x:v>
      </x:c>
      <x:c r="L58" s="88" t="str">
        <x:v>1 小时 35 分钟</x:v>
      </x:c>
      <x:c r="M58" s="89" t="n">
        <x:v>2681</x:v>
      </x:c>
      <x:c r="N58" s="89" t="n">
        <x:v>0</x:v>
      </x:c>
      <x:c r="O58" s="89" t="n">
        <x:f>M58+N58</x:f>
        <x:v>2681</x:v>
      </x:c>
      <x:c r="P58" s="88" t="str">
        <x:f>IF(O58&lt;5000,"是","否")</x:f>
        <x:v>是</x:v>
      </x:c>
      <x:c r="Q58" s="90" t="str">
        <x:v>国内经济舱通常含20kg；出票前须按实际票价等级复核</x:v>
      </x:c>
      <x:c r="R58" s="90" t="str">
        <x:v>该去程对应的最低可订返程组合；具体返程航班需打开来源链接确认</x:v>
      </x:c>
      <x:c r="S58" s="91" t="n">
        <x:v>46267.746032905095</x:v>
      </x:c>
      <x:c r="T58" s="92" t="str">
        <x:v>https://www.google.com/travel/flights?hl=zh-CN&amp;curr=CNY&amp;q=Flights%20from%20Chongqing%20to%20Kunming%20from%202026-10-02%20to%202026-10-08</x:v>
      </x:c>
      <x:c r="U58" s="136" t="n">
        <x:v>46303</x:v>
      </x:c>
      <x:c r="V58" s="90" t="str">
        <x:v>06:50</x:v>
      </x:c>
      <x:c r="W58" s="90" t="str">
        <x:v>昆明长水国际机场</x:v>
      </x:c>
      <x:c r="X58" s="137" t="n">
        <x:v>46303</x:v>
      </x:c>
      <x:c r="Y58" s="90" t="str">
        <x:v>08:25</x:v>
      </x:c>
      <x:c r="Z58" s="90" t="str">
        <x:v>重庆江北国际机场</x:v>
      </x:c>
      <x:c r="AA58" s="90" t="str">
        <x:v>川航</x:v>
      </x:c>
      <x:c r="AB58" s="90" t="n">
        <x:v>0</x:v>
      </x:c>
      <x:c r="AC58" s="90" t="str">
        <x:v>1 小时 35 分钟</x:v>
      </x:c>
      <x:c r="AD58" s="138"/>
      <x:c r="AE58" s="90" t="str">
        <x:v>当前返程列表无价格，采用排序第一条</x:v>
      </x:c>
      <x:c r="AF58" s="92" t="str">
        <x:v>https://www.google.com/travel/flights/search?tfs=CBwQAhpMEgoyMDI2LTEwLTAyIiAKA0NLRxIKMjAyNi0xMC0wMhoDS01HKgJNVTIENTg2NmoNCAISCS9tLzAxNzIzNnINCAISCS9tLzAxYzA2ZBoqEgoyMDI2LTEwLTA4ag0IAhIJL20vMDFjMDZkcg0IAhIJL20vMDE3MjM2QAFIAXABggELCP___________wGYAQE&amp;tfu=ClhDalJJTlU5V1JHUmlTbE5GWkVsQlEyaHZTbmRDUnkwdExTMHRMUzB0YzJWaVluRXlOa0ZCUVVGQlIzRlpSVW80UVZaTmExVkJFZ1pOVlRVNE5qWTRIQT09EgIIACIA&amp;hl=zh-CN&amp;curr=CNY</x:v>
      </x:c>
    </x:row>
    <x:row r="59" ht="42" customHeight="1">
      <x:c r="A59" s="85" t="n">
        <x:f>ROW()-7</x:f>
        <x:v>52</x:v>
      </x:c>
      <x:c r="B59" s="86" t="n">
        <x:v>46297</x:v>
      </x:c>
      <x:c r="C59" s="86" t="n">
        <x:v>46301</x:v>
      </x:c>
      <x:c r="D59" s="87" t="n">
        <x:v>4</x:v>
      </x:c>
      <x:c r="E59" s="88" t="str">
        <x:v>东航</x:v>
      </x:c>
      <x:c r="F59" s="88" t="str">
        <x:v>15:30</x:v>
      </x:c>
      <x:c r="G59" s="88" t="str">
        <x:v>17:05</x:v>
      </x:c>
      <x:c r="H59" s="88" t="str">
        <x:v>重庆江北国际机场</x:v>
      </x:c>
      <x:c r="I59" s="88" t="str">
        <x:v>昆明长水国际机场</x:v>
      </x:c>
      <x:c r="J59" s="88" t="n">
        <x:v>0</x:v>
      </x:c>
      <x:c r="K59" s="88" t="str">
        <x:v>—</x:v>
      </x:c>
      <x:c r="L59" s="88" t="str">
        <x:v>1 小时 35 分钟</x:v>
      </x:c>
      <x:c r="M59" s="89" t="n">
        <x:v>2681</x:v>
      </x:c>
      <x:c r="N59" s="89" t="n">
        <x:v>0</x:v>
      </x:c>
      <x:c r="O59" s="89" t="n">
        <x:f>M59+N59</x:f>
        <x:v>2681</x:v>
      </x:c>
      <x:c r="P59" s="88" t="str">
        <x:f>IF(O59&lt;5000,"是","否")</x:f>
        <x:v>是</x:v>
      </x:c>
      <x:c r="Q59" s="90" t="str">
        <x:v>国内经济舱通常含20kg；出票前须按实际票价等级复核</x:v>
      </x:c>
      <x:c r="R59" s="90" t="str">
        <x:v>该去程对应的最低可订返程组合；具体返程航班需打开来源链接确认</x:v>
      </x:c>
      <x:c r="S59" s="91" t="n">
        <x:v>46267.746032905095</x:v>
      </x:c>
      <x:c r="T59" s="92" t="str">
        <x:v>https://www.google.com/travel/flights?hl=zh-CN&amp;curr=CNY&amp;q=Flights%20from%20Chongqing%20to%20Kunming%20from%202026-10-02%20to%202026-10-06</x:v>
      </x:c>
      <x:c r="U59" s="136" t="n">
        <x:v>46301</x:v>
      </x:c>
      <x:c r="V59" s="90" t="str">
        <x:v>08:05</x:v>
      </x:c>
      <x:c r="W59" s="90" t="str">
        <x:v>昆明长水国际机场</x:v>
      </x:c>
      <x:c r="X59" s="137" t="n">
        <x:v>46301</x:v>
      </x:c>
      <x:c r="Y59" s="90" t="str">
        <x:v>09:35</x:v>
      </x:c>
      <x:c r="Z59" s="90" t="str">
        <x:v>重庆江北国际机场</x:v>
      </x:c>
      <x:c r="AA59" s="90" t="str">
        <x:v>东航</x:v>
      </x:c>
      <x:c r="AB59" s="90" t="n">
        <x:v>0</x:v>
      </x:c>
      <x:c r="AC59" s="90" t="str">
        <x:v>1 小时 30 分钟</x:v>
      </x:c>
      <x:c r="AD59" s="138" t="n">
        <x:v>2681</x:v>
      </x:c>
      <x:c r="AE59" s="90" t="str">
        <x:v>匹配原始往返起价</x:v>
      </x:c>
      <x:c r="AF59" s="92" t="str">
        <x:v>https://www.google.com/travel/flights/search?tfs=CBwQAhpMEgoyMDI2LTEwLTAyIiAKA0NLRxIKMjAyNi0xMC0wMhoDS01HKgJNVTIENTg2NGoNCAISCS9tLzAxNzIzNnINCAISCS9tLzAxYzA2ZBoqEgoyMDI2LTEwLTA2ag0IAhIJL20vMDFjMDZkcg0IAhIJL20vMDE3MjM2QAFIAXABggELCP___________wGYAQE&amp;tfu=CmxDalJJZEU5VWJEQndRbVpTWVhkQlIyTnpNbmRDUnkwdExTMHRMUzB0YzJWaVozSXpNMEZCUVVGQlIzRlpSRXcwUnpkTVQwZEJFZ1pOVlRVNE5qUWFDZ2o1RkJBQUdnTkRUbGs0SFhEVHR3ST0SAggAIgA&amp;hl=zh-CN&amp;curr=CNY</x:v>
      </x:c>
    </x:row>
    <x:row r="60" ht="42" customHeight="1">
      <x:c r="A60" s="85" t="n">
        <x:f>ROW()-7</x:f>
        <x:v>53</x:v>
      </x:c>
      <x:c r="B60" s="86" t="n">
        <x:v>46297</x:v>
      </x:c>
      <x:c r="C60" s="86" t="n">
        <x:v>46303</x:v>
      </x:c>
      <x:c r="D60" s="87" t="n">
        <x:v>6</x:v>
      </x:c>
      <x:c r="E60" s="88" t="str">
        <x:v>东航</x:v>
      </x:c>
      <x:c r="F60" s="88" t="str">
        <x:v>15:30</x:v>
      </x:c>
      <x:c r="G60" s="88" t="str">
        <x:v>17:05</x:v>
      </x:c>
      <x:c r="H60" s="88" t="str">
        <x:v>重庆江北国际机场</x:v>
      </x:c>
      <x:c r="I60" s="88" t="str">
        <x:v>昆明长水国际机场</x:v>
      </x:c>
      <x:c r="J60" s="88" t="n">
        <x:v>0</x:v>
      </x:c>
      <x:c r="K60" s="88" t="str">
        <x:v>—</x:v>
      </x:c>
      <x:c r="L60" s="88" t="str">
        <x:v>1 小时 35 分钟</x:v>
      </x:c>
      <x:c r="M60" s="89" t="n">
        <x:v>2681</x:v>
      </x:c>
      <x:c r="N60" s="89" t="n">
        <x:v>0</x:v>
      </x:c>
      <x:c r="O60" s="89" t="n">
        <x:f>M60+N60</x:f>
        <x:v>2681</x:v>
      </x:c>
      <x:c r="P60" s="88" t="str">
        <x:f>IF(O60&lt;5000,"是","否")</x:f>
        <x:v>是</x:v>
      </x:c>
      <x:c r="Q60" s="90" t="str">
        <x:v>国内经济舱通常含20kg；出票前须按实际票价等级复核</x:v>
      </x:c>
      <x:c r="R60" s="90" t="str">
        <x:v>该去程对应的最低可订返程组合；具体返程航班需打开来源链接确认</x:v>
      </x:c>
      <x:c r="S60" s="91" t="n">
        <x:v>46267.746032905095</x:v>
      </x:c>
      <x:c r="T60" s="92" t="str">
        <x:v>https://www.google.com/travel/flights?hl=zh-CN&amp;curr=CNY&amp;q=Flights%20from%20Chongqing%20to%20Kunming%20from%202026-10-02%20to%202026-10-08</x:v>
      </x:c>
      <x:c r="U60" s="136" t="n">
        <x:v>46303</x:v>
      </x:c>
      <x:c r="V60" s="90" t="str">
        <x:v>06:50</x:v>
      </x:c>
      <x:c r="W60" s="90" t="str">
        <x:v>昆明长水国际机场</x:v>
      </x:c>
      <x:c r="X60" s="137" t="n">
        <x:v>46303</x:v>
      </x:c>
      <x:c r="Y60" s="90" t="str">
        <x:v>08:25</x:v>
      </x:c>
      <x:c r="Z60" s="90" t="str">
        <x:v>重庆江北国际机场</x:v>
      </x:c>
      <x:c r="AA60" s="90" t="str">
        <x:v>川航</x:v>
      </x:c>
      <x:c r="AB60" s="90" t="n">
        <x:v>0</x:v>
      </x:c>
      <x:c r="AC60" s="90" t="str">
        <x:v>1 小时 35 分钟</x:v>
      </x:c>
      <x:c r="AD60" s="138"/>
      <x:c r="AE60" s="90" t="str">
        <x:v>当前返程列表无价格，采用排序第一条</x:v>
      </x:c>
      <x:c r="AF60" s="92" t="str">
        <x:v>https://www.google.com/travel/flights/search?tfs=CBwQAhpMEgoyMDI2LTEwLTAyIiAKA0NLRxIKMjAyNi0xMC0wMhoDS01HKgJNVTIENTg2NGoNCAISCS9tLzAxNzIzNnINCAISCS9tLzAxYzA2ZBoqEgoyMDI2LTEwLTA4ag0IAhIJL20vMDFjMDZkcg0IAhIJL20vMDE3MjM2QAFIAXABggELCP___________wGYAQE&amp;tfu=CmxDalJJYlhCeE56bGlkak5LY1dkQlJEUlJlbWRDUnkwdExTMHRMUzF6YlhWNE9DMXVNa0ZCUVVGQlIzRlpSRTEzVDFKR2VtbEJFZ1pOVlRVNE5qUWFDZ2o0RkJBQUdnTkRUbGs0SEhERXR3ST0SAggAIgA&amp;hl=zh-CN&amp;curr=CNY</x:v>
      </x:c>
    </x:row>
    <x:row r="61" ht="42" customHeight="1">
      <x:c r="A61" s="85" t="n">
        <x:f>ROW()-7</x:f>
        <x:v>54</x:v>
      </x:c>
      <x:c r="B61" s="86" t="n">
        <x:v>46298</x:v>
      </x:c>
      <x:c r="C61" s="86" t="n">
        <x:v>46302</x:v>
      </x:c>
      <x:c r="D61" s="87" t="n">
        <x:v>4</x:v>
      </x:c>
      <x:c r="E61" s="88" t="str">
        <x:v>东航</x:v>
      </x:c>
      <x:c r="F61" s="88" t="str">
        <x:v>06:40</x:v>
      </x:c>
      <x:c r="G61" s="88" t="str">
        <x:v>08:20</x:v>
      </x:c>
      <x:c r="H61" s="88" t="str">
        <x:v>重庆江北国际机场</x:v>
      </x:c>
      <x:c r="I61" s="88" t="str">
        <x:v>昆明长水国际机场</x:v>
      </x:c>
      <x:c r="J61" s="88" t="n">
        <x:v>0</x:v>
      </x:c>
      <x:c r="K61" s="88" t="str">
        <x:v>—</x:v>
      </x:c>
      <x:c r="L61" s="88" t="str">
        <x:v>1 小时 40 分钟</x:v>
      </x:c>
      <x:c r="M61" s="89" t="n">
        <x:v>2681</x:v>
      </x:c>
      <x:c r="N61" s="89" t="n">
        <x:v>0</x:v>
      </x:c>
      <x:c r="O61" s="89" t="n">
        <x:f>M61+N61</x:f>
        <x:v>2681</x:v>
      </x:c>
      <x:c r="P61" s="88" t="str">
        <x:f>IF(O61&lt;5000,"是","否")</x:f>
        <x:v>是</x:v>
      </x:c>
      <x:c r="Q61" s="90" t="str">
        <x:v>国内经济舱通常含20kg；出票前须按实际票价等级复核</x:v>
      </x:c>
      <x:c r="R61" s="90" t="str">
        <x:v>该去程对应的最低可订返程组合；具体返程航班需打开来源链接确认</x:v>
      </x:c>
      <x:c r="S61" s="91" t="n">
        <x:v>46267.746032905095</x:v>
      </x:c>
      <x:c r="T61" s="92" t="str">
        <x:v>https://www.google.com/travel/flights?hl=zh-CN&amp;curr=CNY&amp;q=Flights%20from%20Chongqing%20to%20Kunming%20from%202026-10-03%20to%202026-10-07</x:v>
      </x:c>
      <x:c r="U61" s="136" t="n">
        <x:v>46302</x:v>
      </x:c>
      <x:c r="V61" s="90" t="str">
        <x:v>07:05</x:v>
      </x:c>
      <x:c r="W61" s="90" t="str">
        <x:v>昆明长水国际机场</x:v>
      </x:c>
      <x:c r="X61" s="137" t="n">
        <x:v>46302</x:v>
      </x:c>
      <x:c r="Y61" s="90" t="str">
        <x:v>08:35</x:v>
      </x:c>
      <x:c r="Z61" s="90" t="str">
        <x:v>重庆江北国际机场</x:v>
      </x:c>
      <x:c r="AA61" s="90" t="str">
        <x:v>川航</x:v>
      </x:c>
      <x:c r="AB61" s="90" t="n">
        <x:v>0</x:v>
      </x:c>
      <x:c r="AC61" s="90" t="str">
        <x:v>1 小时 30 分钟</x:v>
      </x:c>
      <x:c r="AD61" s="138"/>
      <x:c r="AE61" s="90" t="str">
        <x:v>当前返程列表无价格，采用排序第一条</x:v>
      </x:c>
      <x:c r="AF61" s="92" t="str">
        <x:v>https://www.google.com/travel/flights/search?tfs=CBwQAhpMEgoyMDI2LTEwLTAzIiAKA0NLRxIKMjAyNi0xMC0wMxoDS01HKgJNVTIENTQ0OWoNCAISCS9tLzAxNzIzNnINCAISCS9tLzAxYzA2ZBoqEgoyMDI2LTEwLTA3ag0IAhIJL20vMDFjMDZkcg0IAhIJL20vMDE3MjM2QAFIAXABggELCP___________wGYAQE&amp;tfu=CmxDalJJVTFCd2FUaFNTbWhxVTBsQlJWZDJXbmRDUnkwdExTMHRMUzB0YzIxck1TMXVNVUZCUVVGQlIzRlpSRTF2UlhaeE5FTkJFZ1pOVlRVME5Ea2FDZ2o0RkJBQUdnTkRUbGs0SFhERXR3ST0SAggAIgA&amp;hl=zh-CN&amp;curr=CNY</x:v>
      </x:c>
    </x:row>
    <x:row r="62" ht="42" customHeight="1">
      <x:c r="A62" s="85" t="n">
        <x:f>ROW()-7</x:f>
        <x:v>55</x:v>
      </x:c>
      <x:c r="B62" s="86" t="n">
        <x:v>46298</x:v>
      </x:c>
      <x:c r="C62" s="86" t="n">
        <x:v>46303</x:v>
      </x:c>
      <x:c r="D62" s="87" t="n">
        <x:v>5</x:v>
      </x:c>
      <x:c r="E62" s="88" t="str">
        <x:v>东航</x:v>
      </x:c>
      <x:c r="F62" s="88" t="str">
        <x:v>06:40</x:v>
      </x:c>
      <x:c r="G62" s="88" t="str">
        <x:v>08:20</x:v>
      </x:c>
      <x:c r="H62" s="88" t="str">
        <x:v>重庆江北国际机场</x:v>
      </x:c>
      <x:c r="I62" s="88" t="str">
        <x:v>昆明长水国际机场</x:v>
      </x:c>
      <x:c r="J62" s="88" t="n">
        <x:v>0</x:v>
      </x:c>
      <x:c r="K62" s="88" t="str">
        <x:v>—</x:v>
      </x:c>
      <x:c r="L62" s="88" t="str">
        <x:v>1 小时 40 分钟</x:v>
      </x:c>
      <x:c r="M62" s="89" t="n">
        <x:v>2681</x:v>
      </x:c>
      <x:c r="N62" s="89" t="n">
        <x:v>0</x:v>
      </x:c>
      <x:c r="O62" s="89" t="n">
        <x:f>M62+N62</x:f>
        <x:v>2681</x:v>
      </x:c>
      <x:c r="P62" s="88" t="str">
        <x:f>IF(O62&lt;5000,"是","否")</x:f>
        <x:v>是</x:v>
      </x:c>
      <x:c r="Q62" s="90" t="str">
        <x:v>国内经济舱通常含20kg；出票前须按实际票价等级复核</x:v>
      </x:c>
      <x:c r="R62" s="90" t="str">
        <x:v>该去程对应的最低可订返程组合；具体返程航班需打开来源链接确认</x:v>
      </x:c>
      <x:c r="S62" s="91" t="n">
        <x:v>46267.746032905095</x:v>
      </x:c>
      <x:c r="T62" s="92" t="str">
        <x:v>https://www.google.com/travel/flights?hl=zh-CN&amp;curr=CNY&amp;q=Flights%20from%20Chongqing%20to%20Kunming%20from%202026-10-03%20to%202026-10-08</x:v>
      </x:c>
      <x:c r="U62" s="136" t="n">
        <x:v>46303</x:v>
      </x:c>
      <x:c r="V62" s="90" t="str">
        <x:v>06:50</x:v>
      </x:c>
      <x:c r="W62" s="90" t="str">
        <x:v>昆明长水国际机场</x:v>
      </x:c>
      <x:c r="X62" s="137" t="n">
        <x:v>46303</x:v>
      </x:c>
      <x:c r="Y62" s="90" t="str">
        <x:v>08:25</x:v>
      </x:c>
      <x:c r="Z62" s="90" t="str">
        <x:v>重庆江北国际机场</x:v>
      </x:c>
      <x:c r="AA62" s="90" t="str">
        <x:v>川航</x:v>
      </x:c>
      <x:c r="AB62" s="90" t="n">
        <x:v>0</x:v>
      </x:c>
      <x:c r="AC62" s="90" t="str">
        <x:v>1 小时 35 分钟</x:v>
      </x:c>
      <x:c r="AD62" s="138"/>
      <x:c r="AE62" s="90" t="str">
        <x:v>当前返程列表无价格，采用排序第一条</x:v>
      </x:c>
      <x:c r="AF62" s="92" t="str">
        <x:v>https://www.google.com/travel/flights/search?tfs=CBwQAhpMEgoyMDI2LTEwLTAzIiAKA0NLRxIKMjAyNi0xMC0wMxoDS01HKgJNVTIENTQ0OWoNCAISCS9tLzAxNzIzNnINCAISCS9tLzAxYzA2ZBoqEgoyMDI2LTEwLTA4ag0IAhIJL20vMDFjMDZkcg0IAhIJL20vMDE3MjM2QAFIAXABggELCP___________wGYAQE&amp;tfu=CmxDalJJTFdzelFXRXhNM05FT1ZGQlJWTk9VRUZDUnkwdExTMHRMUzB0TFMxelpXRmtOa0ZCUVVGQlIzRlpSRTF2UkdnMlRVOUJFZ1pOVlRVME5Ea2FDZ2o0RkJBQUdnTkRUbGs0SFhERXR3ST0SAggAIgA&amp;hl=zh-CN&amp;curr=CNY</x:v>
      </x:c>
    </x:row>
    <x:row r="63" ht="42" customHeight="1">
      <x:c r="A63" s="85" t="n">
        <x:f>ROW()-7</x:f>
        <x:v>56</x:v>
      </x:c>
      <x:c r="B63" s="86" t="n">
        <x:v>46298</x:v>
      </x:c>
      <x:c r="C63" s="86" t="n">
        <x:v>46302</x:v>
      </x:c>
      <x:c r="D63" s="87" t="n">
        <x:v>4</x:v>
      </x:c>
      <x:c r="E63" s="88" t="str">
        <x:v>东航</x:v>
      </x:c>
      <x:c r="F63" s="88" t="str">
        <x:v>10:50</x:v>
      </x:c>
      <x:c r="G63" s="88" t="str">
        <x:v>12:25</x:v>
      </x:c>
      <x:c r="H63" s="88" t="str">
        <x:v>重庆江北国际机场</x:v>
      </x:c>
      <x:c r="I63" s="88" t="str">
        <x:v>昆明长水国际机场</x:v>
      </x:c>
      <x:c r="J63" s="88" t="n">
        <x:v>0</x:v>
      </x:c>
      <x:c r="K63" s="88" t="str">
        <x:v>—</x:v>
      </x:c>
      <x:c r="L63" s="88" t="str">
        <x:v>1 小时 35 分钟</x:v>
      </x:c>
      <x:c r="M63" s="89" t="n">
        <x:v>2681</x:v>
      </x:c>
      <x:c r="N63" s="89" t="n">
        <x:v>0</x:v>
      </x:c>
      <x:c r="O63" s="89" t="n">
        <x:f>M63+N63</x:f>
        <x:v>2681</x:v>
      </x:c>
      <x:c r="P63" s="88" t="str">
        <x:f>IF(O63&lt;5000,"是","否")</x:f>
        <x:v>是</x:v>
      </x:c>
      <x:c r="Q63" s="90" t="str">
        <x:v>国内经济舱通常含20kg；出票前须按实际票价等级复核</x:v>
      </x:c>
      <x:c r="R63" s="90" t="str">
        <x:v>该去程对应的最低可订返程组合；具体返程航班需打开来源链接确认</x:v>
      </x:c>
      <x:c r="S63" s="91" t="n">
        <x:v>46267.746032905095</x:v>
      </x:c>
      <x:c r="T63" s="92" t="str">
        <x:v>https://www.google.com/travel/flights?hl=zh-CN&amp;curr=CNY&amp;q=Flights%20from%20Chongqing%20to%20Kunming%20from%202026-10-03%20to%202026-10-07</x:v>
      </x:c>
      <x:c r="U63" s="136" t="n">
        <x:v>46302</x:v>
      </x:c>
      <x:c r="V63" s="90" t="str">
        <x:v>08:05</x:v>
      </x:c>
      <x:c r="W63" s="90" t="str">
        <x:v>昆明长水国际机场</x:v>
      </x:c>
      <x:c r="X63" s="137" t="n">
        <x:v>46302</x:v>
      </x:c>
      <x:c r="Y63" s="90" t="str">
        <x:v>09:35</x:v>
      </x:c>
      <x:c r="Z63" s="90" t="str">
        <x:v>重庆江北国际机场</x:v>
      </x:c>
      <x:c r="AA63" s="90" t="str">
        <x:v>东航</x:v>
      </x:c>
      <x:c r="AB63" s="90" t="n">
        <x:v>0</x:v>
      </x:c>
      <x:c r="AC63" s="90" t="str">
        <x:v>1 小时 30 分钟</x:v>
      </x:c>
      <x:c r="AD63" s="138" t="n">
        <x:v>2680</x:v>
      </x:c>
      <x:c r="AE63" s="90" t="str">
        <x:v>当前价格已变化，采用当前最低价返程</x:v>
      </x:c>
      <x:c r="AF63" s="92" t="str">
        <x:v>https://www.google.com/travel/flights/search?tfs=CBwQAhpMEgoyMDI2LTEwLTAzIiAKA0NLRxIKMjAyNi0xMC0wMxoDS01HKgJNVTIENTg2NmoNCAISCS9tLzAxNzIzNnINCAISCS9tLzAxYzA2ZBoqEgoyMDI2LTEwLTA3ag0IAhIJL20vMDFjMDZkcg0IAhIJL20vMDE3MjM2QAFIAXABggELCP___________wGYAQE&amp;tfu=CmxDalJJZEU5VWJEQndRbVpTWVhkQlIyTXhjbmRDUnkwdExTMHRMUzB0YzJWaVozSXpNMEZCUVVGQlIzRlpSRTB3UlVoUk5FbEJFZ1pOVlRVNE5qWWFDZ2o0RkJBQUdnTkRUbGs0SEhERXR3ST0SAggAIgA&amp;hl=zh-CN&amp;curr=CNY</x:v>
      </x:c>
    </x:row>
    <x:row r="64" ht="42" customHeight="1">
      <x:c r="A64" s="85" t="n">
        <x:f>ROW()-7</x:f>
        <x:v>57</x:v>
      </x:c>
      <x:c r="B64" s="86" t="n">
        <x:v>46298</x:v>
      </x:c>
      <x:c r="C64" s="86" t="n">
        <x:v>46303</x:v>
      </x:c>
      <x:c r="D64" s="87" t="n">
        <x:v>5</x:v>
      </x:c>
      <x:c r="E64" s="88" t="str">
        <x:v>东航</x:v>
      </x:c>
      <x:c r="F64" s="88" t="str">
        <x:v>10:50</x:v>
      </x:c>
      <x:c r="G64" s="88" t="str">
        <x:v>12:25</x:v>
      </x:c>
      <x:c r="H64" s="88" t="str">
        <x:v>重庆江北国际机场</x:v>
      </x:c>
      <x:c r="I64" s="88" t="str">
        <x:v>昆明长水国际机场</x:v>
      </x:c>
      <x:c r="J64" s="88" t="n">
        <x:v>0</x:v>
      </x:c>
      <x:c r="K64" s="88" t="str">
        <x:v>—</x:v>
      </x:c>
      <x:c r="L64" s="88" t="str">
        <x:v>1 小时 35 分钟</x:v>
      </x:c>
      <x:c r="M64" s="89" t="n">
        <x:v>2681</x:v>
      </x:c>
      <x:c r="N64" s="89" t="n">
        <x:v>0</x:v>
      </x:c>
      <x:c r="O64" s="89" t="n">
        <x:f>M64+N64</x:f>
        <x:v>2681</x:v>
      </x:c>
      <x:c r="P64" s="88" t="str">
        <x:f>IF(O64&lt;5000,"是","否")</x:f>
        <x:v>是</x:v>
      </x:c>
      <x:c r="Q64" s="90" t="str">
        <x:v>国内经济舱通常含20kg；出票前须按实际票价等级复核</x:v>
      </x:c>
      <x:c r="R64" s="90" t="str">
        <x:v>该去程对应的最低可订返程组合；具体返程航班需打开来源链接确认</x:v>
      </x:c>
      <x:c r="S64" s="91" t="n">
        <x:v>46267.746032905095</x:v>
      </x:c>
      <x:c r="T64" s="92" t="str">
        <x:v>https://www.google.com/travel/flights?hl=zh-CN&amp;curr=CNY&amp;q=Flights%20from%20Chongqing%20to%20Kunming%20from%202026-10-03%20to%202026-10-08</x:v>
      </x:c>
      <x:c r="U64" s="136" t="n">
        <x:v>46303</x:v>
      </x:c>
      <x:c r="V64" s="90" t="str">
        <x:v>06:50</x:v>
      </x:c>
      <x:c r="W64" s="90" t="str">
        <x:v>昆明长水国际机场</x:v>
      </x:c>
      <x:c r="X64" s="137" t="n">
        <x:v>46303</x:v>
      </x:c>
      <x:c r="Y64" s="90" t="str">
        <x:v>08:25</x:v>
      </x:c>
      <x:c r="Z64" s="90" t="str">
        <x:v>重庆江北国际机场</x:v>
      </x:c>
      <x:c r="AA64" s="90" t="str">
        <x:v>川航</x:v>
      </x:c>
      <x:c r="AB64" s="90" t="n">
        <x:v>0</x:v>
      </x:c>
      <x:c r="AC64" s="90" t="str">
        <x:v>1 小时 35 分钟</x:v>
      </x:c>
      <x:c r="AD64" s="138"/>
      <x:c r="AE64" s="90" t="str">
        <x:v>当前返程列表无价格，采用排序第一条</x:v>
      </x:c>
      <x:c r="AF64" s="92" t="str">
        <x:v>https://www.google.com/travel/flights/search?tfs=CBwQAhpMEgoyMDI2LTEwLTAzIiAKA0NLRxIKMjAyNi0xMC0wMxoDS01HKgJNVTIENTg2NmoNCAISCS9tLzAxNzIzNnINCAISCS9tLzAxYzA2ZBoqEgoyMDI2LTEwLTA4ag0IAhIJL20vMDFjMDZkcg0IAhIJL20vMDE3MjM2QAFIAXABggELCP___________wGYAQE&amp;tfu=CmxDalJJZEU5VWJEQndRbVpTWVhkQlIyTTJaRUZDUnkwdExTMHRMUzB0YzJWaVozSXpNMEZCUVVGQlIzRlpSRTVaU1RWa1VVZEJFZ1pOVlRVNE5qWWFDZ2o0RkJBQUdnTkRUbGs0SEhERXR3ST0SAggAIgA&amp;hl=zh-CN&amp;curr=CNY</x:v>
      </x:c>
    </x:row>
    <x:row r="65" ht="42" customHeight="1">
      <x:c r="A65" s="85" t="n">
        <x:f>ROW()-7</x:f>
        <x:v>58</x:v>
      </x:c>
      <x:c r="B65" s="86" t="n">
        <x:v>46298</x:v>
      </x:c>
      <x:c r="C65" s="86" t="n">
        <x:v>46302</x:v>
      </x:c>
      <x:c r="D65" s="87" t="n">
        <x:v>4</x:v>
      </x:c>
      <x:c r="E65" s="88" t="str">
        <x:v>东航</x:v>
      </x:c>
      <x:c r="F65" s="88" t="str">
        <x:v>15:30</x:v>
      </x:c>
      <x:c r="G65" s="88" t="str">
        <x:v>16:55</x:v>
      </x:c>
      <x:c r="H65" s="88" t="str">
        <x:v>重庆江北国际机场</x:v>
      </x:c>
      <x:c r="I65" s="88" t="str">
        <x:v>昆明长水国际机场</x:v>
      </x:c>
      <x:c r="J65" s="88" t="n">
        <x:v>0</x:v>
      </x:c>
      <x:c r="K65" s="88" t="str">
        <x:v>—</x:v>
      </x:c>
      <x:c r="L65" s="88" t="str">
        <x:v>1 小时 25 分钟</x:v>
      </x:c>
      <x:c r="M65" s="89" t="n">
        <x:v>2681</x:v>
      </x:c>
      <x:c r="N65" s="89" t="n">
        <x:v>0</x:v>
      </x:c>
      <x:c r="O65" s="89" t="n">
        <x:f>M65+N65</x:f>
        <x:v>2681</x:v>
      </x:c>
      <x:c r="P65" s="88" t="str">
        <x:f>IF(O65&lt;5000,"是","否")</x:f>
        <x:v>是</x:v>
      </x:c>
      <x:c r="Q65" s="90" t="str">
        <x:v>国内经济舱通常含20kg；出票前须按实际票价等级复核</x:v>
      </x:c>
      <x:c r="R65" s="90" t="str">
        <x:v>该去程对应的最低可订返程组合；具体返程航班需打开来源链接确认</x:v>
      </x:c>
      <x:c r="S65" s="91" t="n">
        <x:v>46267.746032905095</x:v>
      </x:c>
      <x:c r="T65" s="92" t="str">
        <x:v>https://www.google.com/travel/flights?hl=zh-CN&amp;curr=CNY&amp;q=Flights%20from%20Chongqing%20to%20Kunming%20from%202026-10-03%20to%202026-10-07</x:v>
      </x:c>
      <x:c r="U65" s="136" t="n">
        <x:v>46302</x:v>
      </x:c>
      <x:c r="V65" s="90" t="str">
        <x:v>07:05</x:v>
      </x:c>
      <x:c r="W65" s="90" t="str">
        <x:v>昆明长水国际机场</x:v>
      </x:c>
      <x:c r="X65" s="137" t="n">
        <x:v>46302</x:v>
      </x:c>
      <x:c r="Y65" s="90" t="str">
        <x:v>08:35</x:v>
      </x:c>
      <x:c r="Z65" s="90" t="str">
        <x:v>重庆江北国际机场</x:v>
      </x:c>
      <x:c r="AA65" s="90" t="str">
        <x:v>川航</x:v>
      </x:c>
      <x:c r="AB65" s="90" t="n">
        <x:v>0</x:v>
      </x:c>
      <x:c r="AC65" s="90" t="str">
        <x:v>1 小时 30 分钟</x:v>
      </x:c>
      <x:c r="AD65" s="138"/>
      <x:c r="AE65" s="90" t="str">
        <x:v>当前返程列表无价格，采用排序第一条</x:v>
      </x:c>
      <x:c r="AF65" s="92" t="str">
        <x:v>https://www.google.com/travel/flights/search?tfs=CBwQAhpMEgoyMDI2LTEwLTAzIiAKA0NLRxIKMjAyNi0xMC0wMxoDS01HKgJNVTIENTg2NGoNCAISCS9tLzAxNzIzNnINCAISCS9tLzAxYzA2ZBoqEgoyMDI2LTEwLTA3ag0IAhIJL20vMDFjMDZkcg0IAhIJL20vMDE3MjM2QAFIAXABggELCP___________wGYAQE&amp;tfu=CmxDalJJUlROeFMwUnNXWFJRZEUxQlJWWXhiWGRDUnkwdExTMHRMWE50Y0hReE5DMXVNVUZCUVVGQlIzRlpSRTVOUlhaWGNrVkJFZ1pOVlRVNE5qUWFDZ2o0RkJBQUdnTkRUbGs0SFhERXR3ST0SAggAIgA&amp;hl=zh-CN&amp;curr=CNY</x:v>
      </x:c>
    </x:row>
    <x:row r="66" ht="42" customHeight="1">
      <x:c r="A66" s="85" t="n">
        <x:f>ROW()-7</x:f>
        <x:v>59</x:v>
      </x:c>
      <x:c r="B66" s="86" t="n">
        <x:v>46298</x:v>
      </x:c>
      <x:c r="C66" s="86" t="n">
        <x:v>46303</x:v>
      </x:c>
      <x:c r="D66" s="87" t="n">
        <x:v>5</x:v>
      </x:c>
      <x:c r="E66" s="88" t="str">
        <x:v>东航</x:v>
      </x:c>
      <x:c r="F66" s="88" t="str">
        <x:v>15:30</x:v>
      </x:c>
      <x:c r="G66" s="88" t="str">
        <x:v>16:55</x:v>
      </x:c>
      <x:c r="H66" s="88" t="str">
        <x:v>重庆江北国际机场</x:v>
      </x:c>
      <x:c r="I66" s="88" t="str">
        <x:v>昆明长水国际机场</x:v>
      </x:c>
      <x:c r="J66" s="88" t="n">
        <x:v>0</x:v>
      </x:c>
      <x:c r="K66" s="88" t="str">
        <x:v>—</x:v>
      </x:c>
      <x:c r="L66" s="88" t="str">
        <x:v>1 小时 25 分钟</x:v>
      </x:c>
      <x:c r="M66" s="89" t="n">
        <x:v>2681</x:v>
      </x:c>
      <x:c r="N66" s="89" t="n">
        <x:v>0</x:v>
      </x:c>
      <x:c r="O66" s="89" t="n">
        <x:f>M66+N66</x:f>
        <x:v>2681</x:v>
      </x:c>
      <x:c r="P66" s="88" t="str">
        <x:f>IF(O66&lt;5000,"是","否")</x:f>
        <x:v>是</x:v>
      </x:c>
      <x:c r="Q66" s="90" t="str">
        <x:v>国内经济舱通常含20kg；出票前须按实际票价等级复核</x:v>
      </x:c>
      <x:c r="R66" s="90" t="str">
        <x:v>该去程对应的最低可订返程组合；具体返程航班需打开来源链接确认</x:v>
      </x:c>
      <x:c r="S66" s="91" t="n">
        <x:v>46267.746032905095</x:v>
      </x:c>
      <x:c r="T66" s="92" t="str">
        <x:v>https://www.google.com/travel/flights?hl=zh-CN&amp;curr=CNY&amp;q=Flights%20from%20Chongqing%20to%20Kunming%20from%202026-10-03%20to%202026-10-08</x:v>
      </x:c>
      <x:c r="U66" s="136" t="n">
        <x:v>46303</x:v>
      </x:c>
      <x:c r="V66" s="90" t="str">
        <x:v>06:50</x:v>
      </x:c>
      <x:c r="W66" s="90" t="str">
        <x:v>昆明长水国际机场</x:v>
      </x:c>
      <x:c r="X66" s="137" t="n">
        <x:v>46303</x:v>
      </x:c>
      <x:c r="Y66" s="90" t="str">
        <x:v>08:25</x:v>
      </x:c>
      <x:c r="Z66" s="90" t="str">
        <x:v>重庆江北国际机场</x:v>
      </x:c>
      <x:c r="AA66" s="90" t="str">
        <x:v>川航</x:v>
      </x:c>
      <x:c r="AB66" s="90" t="n">
        <x:v>0</x:v>
      </x:c>
      <x:c r="AC66" s="90" t="str">
        <x:v>1 小时 35 分钟</x:v>
      </x:c>
      <x:c r="AD66" s="138"/>
      <x:c r="AE66" s="90" t="str">
        <x:v>当前返程列表无价格，采用排序第一条</x:v>
      </x:c>
      <x:c r="AF66" s="92" t="str">
        <x:v>https://www.google.com/travel/flights/search?tfs=CBwQAhpMEgoyMDI2LTEwLTAzIiAKA0NLRxIKMjAyNi0xMC0wMxoDS01HKgJNVTIENTg2NGoNCAISCS9tLzAxNzIzNnINCAISCS9tLzAxYzA2ZBoqEgoyMDI2LTEwLTA4ag0IAhIJL20vMDFjMDZkcg0IAhIJL20vMDE3MjM2QAFIAXABggELCP___________wGYAQE&amp;tfu=CmxDalJJZEU5VWJEQndRbVpTWVhkQlIyTTBOWGRDUnkwdExTMHRMUzB0YzJWaVozSXpNMEZCUVVGQlIzRlpSRTVOUlRSRVdDMUJFZ1pOVlRVNE5qUWFDZ2o0RkJBQUdnTkRUbGs0SFhERXR3ST0SAggAIgA&amp;hl=zh-CN&amp;curr=CNY</x:v>
      </x:c>
    </x:row>
    <x:row r="67" ht="42" customHeight="1">
      <x:c r="A67" s="85" t="n">
        <x:f>ROW()-7</x:f>
        <x:v>60</x:v>
      </x:c>
      <x:c r="B67" s="86" t="n">
        <x:v>46297</x:v>
      </x:c>
      <x:c r="C67" s="86" t="n">
        <x:v>46303</x:v>
      </x:c>
      <x:c r="D67" s="87" t="n">
        <x:v>6</x:v>
      </x:c>
      <x:c r="E67" s="88" t="str">
        <x:v>南航</x:v>
      </x:c>
      <x:c r="F67" s="88" t="str">
        <x:v>23:00</x:v>
      </x:c>
      <x:c r="G67" s="88" t="str">
        <x:v>15:00 +1</x:v>
      </x:c>
      <x:c r="H67" s="88" t="str">
        <x:v>重庆江北国际机场</x:v>
      </x:c>
      <x:c r="I67" s="88" t="str">
        <x:v>昆明长水国际机场</x:v>
      </x:c>
      <x:c r="J67" s="88" t="n">
        <x:v>1</x:v>
      </x:c>
      <x:c r="K67" s="88" t="str">
        <x:v>长沙市的长沙黄花国际机场 / 12 小时 20 分钟</x:v>
      </x:c>
      <x:c r="L67" s="88" t="str">
        <x:v>16 小时</x:v>
      </x:c>
      <x:c r="M67" s="89" t="n">
        <x:v>4185</x:v>
      </x:c>
      <x:c r="N67" s="89" t="n">
        <x:v>0</x:v>
      </x:c>
      <x:c r="O67" s="89" t="n">
        <x:f>M67+N67</x:f>
        <x:v>4185</x:v>
      </x:c>
      <x:c r="P67" s="88" t="str">
        <x:f>IF(O67&lt;5000,"是","否")</x:f>
        <x:v>是</x:v>
      </x:c>
      <x:c r="Q67" s="90" t="str">
        <x:v>国内经济舱通常含20kg；出票前须按实际票价等级复核</x:v>
      </x:c>
      <x:c r="R67" s="90" t="str">
        <x:v>该去程对应的最低可订返程组合；具体返程航班需打开来源链接确认</x:v>
      </x:c>
      <x:c r="S67" s="91" t="n">
        <x:v>46267.746032905095</x:v>
      </x:c>
      <x:c r="T67" s="92" t="str">
        <x:v>https://www.google.com/travel/flights?hl=zh-CN&amp;curr=CNY&amp;q=Flights%20from%20Chongqing%20to%20Kunming%20from%202026-10-02%20to%202026-10-08</x:v>
      </x:c>
      <x:c r="U67" s="136"/>
      <x:c r="V67" s="90"/>
      <x:c r="W67" s="90"/>
      <x:c r="X67" s="137"/>
      <x:c r="Y67" s="90"/>
      <x:c r="Z67" s="90"/>
      <x:c r="AA67" s="90"/>
      <x:c r="AB67" s="90"/>
      <x:c r="AC67" s="90"/>
      <x:c r="AD67" s="138"/>
      <x:c r="AE67" s="90" t="str">
        <x:v>去程当前未找到，返程待核验</x:v>
      </x:c>
      <x:c r="AF67" s="92" t="str">
        <x:v>https://www.google.com/travel/flights?hl=zh-CN&amp;curr=CNY&amp;q=Flights%20from%20Chongqing%20to%20Kunming%20from%202026-10-02%20to%202026-10-08</x:v>
      </x:c>
    </x:row>
    <x:row r="68" ht="42" customHeight="1">
      <x:c r="A68" s="85" t="n">
        <x:f>ROW()-7</x:f>
        <x:v>61</x:v>
      </x:c>
      <x:c r="B68" s="86" t="n">
        <x:v>46296</x:v>
      </x:c>
      <x:c r="C68" s="86" t="n">
        <x:v>46300</x:v>
      </x:c>
      <x:c r="D68" s="87" t="n">
        <x:v>4</x:v>
      </x:c>
      <x:c r="E68" s="88" t="str">
        <x:v>南航</x:v>
      </x:c>
      <x:c r="F68" s="88" t="str">
        <x:v>13:05</x:v>
      </x:c>
      <x:c r="G68" s="88" t="str">
        <x:v>18:50</x:v>
      </x:c>
      <x:c r="H68" s="88" t="str">
        <x:v>重庆江北国际机场</x:v>
      </x:c>
      <x:c r="I68" s="88" t="str">
        <x:v>昆明长水国际机场</x:v>
      </x:c>
      <x:c r="J68" s="88" t="n">
        <x:v>1</x:v>
      </x:c>
      <x:c r="K68" s="88" t="str">
        <x:v>海口市的海口美兰国际机场 / 1 小时 50 分钟</x:v>
      </x:c>
      <x:c r="L68" s="88" t="str">
        <x:v>5 小时 45 分钟</x:v>
      </x:c>
      <x:c r="M68" s="89" t="n">
        <x:v>4260</x:v>
      </x:c>
      <x:c r="N68" s="89" t="n">
        <x:v>0</x:v>
      </x:c>
      <x:c r="O68" s="89" t="n">
        <x:f>M68+N68</x:f>
        <x:v>4260</x:v>
      </x:c>
      <x:c r="P68" s="88" t="str">
        <x:f>IF(O68&lt;5000,"是","否")</x:f>
        <x:v>是</x:v>
      </x:c>
      <x:c r="Q68" s="90" t="str">
        <x:v>国内经济舱通常含20kg；出票前须按实际票价等级复核</x:v>
      </x:c>
      <x:c r="R68" s="90" t="str">
        <x:v>该去程对应的最低可订返程组合；具体返程航班需打开来源链接确认</x:v>
      </x:c>
      <x:c r="S68" s="91" t="n">
        <x:v>46267.746032905095</x:v>
      </x:c>
      <x:c r="T68" s="92" t="str">
        <x:v>https://www.google.com/travel/flights?hl=zh-CN&amp;curr=CNY&amp;q=Flights%20from%20Chongqing%20to%20Kunming%20from%202026-10-01%20to%202026-10-05</x:v>
      </x:c>
      <x:c r="U68" s="136" t="n">
        <x:v>46300</x:v>
      </x:c>
      <x:c r="V68" s="90" t="str">
        <x:v>22:05</x:v>
      </x:c>
      <x:c r="W68" s="90" t="str">
        <x:v>昆明长水国际机场</x:v>
      </x:c>
      <x:c r="X68" s="137" t="n">
        <x:v>46300</x:v>
      </x:c>
      <x:c r="Y68" s="90" t="str">
        <x:v>23:50</x:v>
      </x:c>
      <x:c r="Z68" s="90" t="str">
        <x:v>重庆江北国际机场</x:v>
      </x:c>
      <x:c r="AA68" s="90" t="str">
        <x:v>南航</x:v>
      </x:c>
      <x:c r="AB68" s="90" t="n">
        <x:v>0</x:v>
      </x:c>
      <x:c r="AC68" s="90" t="str">
        <x:v>1 小时 45 分钟</x:v>
      </x:c>
      <x:c r="AD68" s="138" t="n">
        <x:v>4260</x:v>
      </x:c>
      <x:c r="AE68" s="90" t="str">
        <x:v>匹配原始往返起价</x:v>
      </x:c>
      <x:c r="AF68" s="92" t="str">
        <x:v>https://www.google.com/travel/flights/search?tfs=CBwQAhpuEgoyMDI2LTEwLTAxIiAKA0NLRxIKMjAyNi0xMC0wMRoDSEFLKgJDWjIEMjM0MSIgCgNIQUsSCjIwMjYtMTAtMDEaA0tNRyoCQ1oyBDY3MjFqDQgCEgkvbS8wMTcyMzZyDQgCEgkvbS8wMWMwNmQaKhIKMjAyNi0xMC0wNWoNCAISCS9tLzAxYzA2ZHINCAISCS9tLzAxNzIzNkABSAFwAYIBCwj___________8BmAEB&amp;tfu=CnRDalJJVGxGb1IzSTNiM1ZaTUVsQlJXcDZSMmRDUnkwdExTMHRMUzB0TFhObGRYVXlNa0ZCUVVGQlIzRlpSRTlCU3pCSU5XZEJFZzFEV2pJek5ERjhRMW8yTnpJeEdnb0lwQ0VRQUJvRFEwNVpPQnh3bWU4RBIGCAAgAigBIgA&amp;hl=zh-CN&amp;curr=CNY</x:v>
      </x:c>
    </x:row>
    <x:row r="69" ht="42" customHeight="1">
      <x:c r="A69" s="85" t="n">
        <x:f>ROW()-7</x:f>
        <x:v>62</x:v>
      </x:c>
      <x:c r="B69" s="86" t="n">
        <x:v>46296</x:v>
      </x:c>
      <x:c r="C69" s="86" t="n">
        <x:v>46301</x:v>
      </x:c>
      <x:c r="D69" s="87" t="n">
        <x:v>5</x:v>
      </x:c>
      <x:c r="E69" s="88" t="str">
        <x:v>南航</x:v>
      </x:c>
      <x:c r="F69" s="88" t="str">
        <x:v>13:05</x:v>
      </x:c>
      <x:c r="G69" s="88" t="str">
        <x:v>18:50</x:v>
      </x:c>
      <x:c r="H69" s="88" t="str">
        <x:v>重庆江北国际机场</x:v>
      </x:c>
      <x:c r="I69" s="88" t="str">
        <x:v>昆明长水国际机场</x:v>
      </x:c>
      <x:c r="J69" s="88" t="n">
        <x:v>1</x:v>
      </x:c>
      <x:c r="K69" s="88" t="str">
        <x:v>海口市的海口美兰国际机场 / 1 小时 50 分钟</x:v>
      </x:c>
      <x:c r="L69" s="88" t="str">
        <x:v>5 小时 45 分钟</x:v>
      </x:c>
      <x:c r="M69" s="89" t="n">
        <x:v>4260</x:v>
      </x:c>
      <x:c r="N69" s="89" t="n">
        <x:v>0</x:v>
      </x:c>
      <x:c r="O69" s="89" t="n">
        <x:f>M69+N69</x:f>
        <x:v>4260</x:v>
      </x:c>
      <x:c r="P69" s="88" t="str">
        <x:f>IF(O69&lt;5000,"是","否")</x:f>
        <x:v>是</x:v>
      </x:c>
      <x:c r="Q69" s="90" t="str">
        <x:v>国内经济舱通常含20kg；出票前须按实际票价等级复核</x:v>
      </x:c>
      <x:c r="R69" s="90" t="str">
        <x:v>该去程对应的最低可订返程组合；具体返程航班需打开来源链接确认</x:v>
      </x:c>
      <x:c r="S69" s="91" t="n">
        <x:v>46267.746032905095</x:v>
      </x:c>
      <x:c r="T69" s="92" t="str">
        <x:v>https://www.google.com/travel/flights?hl=zh-CN&amp;curr=CNY&amp;q=Flights%20from%20Chongqing%20to%20Kunming%20from%202026-10-01%20to%202026-10-06</x:v>
      </x:c>
      <x:c r="U69" s="136" t="n">
        <x:v>46301</x:v>
      </x:c>
      <x:c r="V69" s="90" t="str">
        <x:v>22:05</x:v>
      </x:c>
      <x:c r="W69" s="90" t="str">
        <x:v>昆明长水国际机场</x:v>
      </x:c>
      <x:c r="X69" s="137" t="n">
        <x:v>46301</x:v>
      </x:c>
      <x:c r="Y69" s="90" t="str">
        <x:v>23:50</x:v>
      </x:c>
      <x:c r="Z69" s="90" t="str">
        <x:v>重庆江北国际机场</x:v>
      </x:c>
      <x:c r="AA69" s="90" t="str">
        <x:v>南航</x:v>
      </x:c>
      <x:c r="AB69" s="90" t="n">
        <x:v>0</x:v>
      </x:c>
      <x:c r="AC69" s="90" t="str">
        <x:v>1 小时 45 分钟</x:v>
      </x:c>
      <x:c r="AD69" s="138" t="n">
        <x:v>4260</x:v>
      </x:c>
      <x:c r="AE69" s="90" t="str">
        <x:v>匹配原始往返起价</x:v>
      </x:c>
      <x:c r="AF69" s="92" t="str">
        <x:v>https://www.google.com/travel/flights/search?tfs=CBwQAhpuEgoyMDI2LTEwLTAxIiAKA0NLRxIKMjAyNi0xMC0wMRoDSEFLKgJDWjIEMjM0MSIgCgNIQUsSCjIwMjYtMTAtMDEaA0tNRyoCQ1oyBDY3MjFqDQgCEgkvbS8wMTcyMzZyDQgCEgkvbS8wMWMwNmQaKhIKMjAyNi0xMC0wNmoNCAISCS9tLzAxYzA2ZHINCAISCS9tLzAxNzIzNkABSAFwAYIBCwj___________8BmAEB&amp;tfu=CnRDalJJUlROeFMwUnNXWFJRZEUxQlJWWTNUSGRDUnkwdExTMHRMWE50Y0hReE5DMXVNVUZCUVVGQlIzRlpSRTlCUzNJMWVHOUJFZzFEV2pJek5ERjhRMW8yTnpJeEdnb0lwQ0VRQUJvRFEwNVpPQnh3bWU4RBIGCAAgAigBIgA&amp;hl=zh-CN&amp;curr=CNY</x:v>
      </x:c>
    </x:row>
    <x:row r="70" ht="42" customHeight="1">
      <x:c r="A70" s="85" t="n">
        <x:f>ROW()-7</x:f>
        <x:v>63</x:v>
      </x:c>
      <x:c r="B70" s="86" t="n">
        <x:v>46296</x:v>
      </x:c>
      <x:c r="C70" s="86" t="n">
        <x:v>46303</x:v>
      </x:c>
      <x:c r="D70" s="87" t="n">
        <x:v>7</x:v>
      </x:c>
      <x:c r="E70" s="88" t="str">
        <x:v>南航</x:v>
      </x:c>
      <x:c r="F70" s="88" t="str">
        <x:v>13:05</x:v>
      </x:c>
      <x:c r="G70" s="88" t="str">
        <x:v>18:50</x:v>
      </x:c>
      <x:c r="H70" s="88" t="str">
        <x:v>重庆江北国际机场</x:v>
      </x:c>
      <x:c r="I70" s="88" t="str">
        <x:v>昆明长水国际机场</x:v>
      </x:c>
      <x:c r="J70" s="88" t="n">
        <x:v>1</x:v>
      </x:c>
      <x:c r="K70" s="88" t="str">
        <x:v>海口市的海口美兰国际机场 / 1 小时 50 分钟</x:v>
      </x:c>
      <x:c r="L70" s="88" t="str">
        <x:v>5 小时 45 分钟</x:v>
      </x:c>
      <x:c r="M70" s="89" t="n">
        <x:v>4260</x:v>
      </x:c>
      <x:c r="N70" s="89" t="n">
        <x:v>0</x:v>
      </x:c>
      <x:c r="O70" s="89" t="n">
        <x:f>M70+N70</x:f>
        <x:v>4260</x:v>
      </x:c>
      <x:c r="P70" s="88" t="str">
        <x:f>IF(O70&lt;5000,"是","否")</x:f>
        <x:v>是</x:v>
      </x:c>
      <x:c r="Q70" s="90" t="str">
        <x:v>国内经济舱通常含20kg；出票前须按实际票价等级复核</x:v>
      </x:c>
      <x:c r="R70" s="90" t="str">
        <x:v>该去程对应的最低可订返程组合；具体返程航班需打开来源链接确认</x:v>
      </x:c>
      <x:c r="S70" s="91" t="n">
        <x:v>46267.746032905095</x:v>
      </x:c>
      <x:c r="T70" s="92" t="str">
        <x:v>https://www.google.com/travel/flights?hl=zh-CN&amp;curr=CNY&amp;q=Flights%20from%20Chongqing%20to%20Kunming%20from%202026-10-01%20to%202026-10-08</x:v>
      </x:c>
      <x:c r="U70" s="136" t="n">
        <x:v>46303</x:v>
      </x:c>
      <x:c r="V70" s="90" t="str">
        <x:v>22:05</x:v>
      </x:c>
      <x:c r="W70" s="90" t="str">
        <x:v>昆明长水国际机场</x:v>
      </x:c>
      <x:c r="X70" s="137" t="n">
        <x:v>46303</x:v>
      </x:c>
      <x:c r="Y70" s="90" t="str">
        <x:v>23:50</x:v>
      </x:c>
      <x:c r="Z70" s="90" t="str">
        <x:v>重庆江北国际机场</x:v>
      </x:c>
      <x:c r="AA70" s="90" t="str">
        <x:v>南航</x:v>
      </x:c>
      <x:c r="AB70" s="90" t="n">
        <x:v>0</x:v>
      </x:c>
      <x:c r="AC70" s="90" t="str">
        <x:v>1 小时 45 分钟</x:v>
      </x:c>
      <x:c r="AD70" s="138" t="n">
        <x:v>4260</x:v>
      </x:c>
      <x:c r="AE70" s="90" t="str">
        <x:v>匹配原始往返起价</x:v>
      </x:c>
      <x:c r="AF70" s="92" t="str">
        <x:v>https://www.google.com/travel/flights/search?tfs=CBwQAhpuEgoyMDI2LTEwLTAxIiAKA0NLRxIKMjAyNi0xMC0wMRoDSEFLKgJDWjIEMjM0MSIgCgNIQUsSCjIwMjYtMTAtMDEaA0tNRyoCQ1oyBDY3MjFqDQgCEgkvbS8wMTcyMzZyDQgCEgkvbS8wMWMwNmQaKhIKMjAyNi0xMC0wOGoNCAISCS9tLzAxYzA2ZHINCAISCS9tLzAxNzIzNkABSAFwAYIBCwj___________8BmAEB&amp;tfu=CnRDalJJUjJOcVVEZzBWMGRIYlVWQlJXOHlUa0ZDUnkwdExTMHRMUzB0YzJWaVluVXpOVUZCUVVGQlIzRlpSRTlCVEVOM1RGbEJFZzFEV2pJek5ERjhRMW8yTnpJeEdnb0lwQ0VRQUJvRFEwNVpPQnh3bWU4RBIGCAAgAigBIgA&amp;hl=zh-CN&amp;curr=CNY</x:v>
      </x:c>
    </x:row>
    <x:row r="71" ht="42" customHeight="1">
      <x:c r="A71" s="85" t="n">
        <x:f>ROW()-7</x:f>
        <x:v>64</x:v>
      </x:c>
      <x:c r="B71" s="86" t="n">
        <x:v>46296</x:v>
      </x:c>
      <x:c r="C71" s="86" t="n">
        <x:v>46300</x:v>
      </x:c>
      <x:c r="D71" s="87" t="n">
        <x:v>4</x:v>
      </x:c>
      <x:c r="E71" s="88" t="str">
        <x:v>南航</x:v>
      </x:c>
      <x:c r="F71" s="88" t="str">
        <x:v>22:10</x:v>
      </x:c>
      <x:c r="G71" s="88" t="str">
        <x:v>09:40 +1</x:v>
      </x:c>
      <x:c r="H71" s="88" t="str">
        <x:v>重庆江北国际机场</x:v>
      </x:c>
      <x:c r="I71" s="88" t="str">
        <x:v>昆明长水国际机场</x:v>
      </x:c>
      <x:c r="J71" s="88" t="n">
        <x:v>1</x:v>
      </x:c>
      <x:c r="K71" s="88" t="str">
        <x:v>海口市的海口美兰国际机场 / 7 小时 15 分钟</x:v>
      </x:c>
      <x:c r="L71" s="88" t="str">
        <x:v>11 小时 30 分钟</x:v>
      </x:c>
      <x:c r="M71" s="89" t="n">
        <x:v>4260</x:v>
      </x:c>
      <x:c r="N71" s="89" t="n">
        <x:v>0</x:v>
      </x:c>
      <x:c r="O71" s="89" t="n">
        <x:f>M71+N71</x:f>
        <x:v>4260</x:v>
      </x:c>
      <x:c r="P71" s="88" t="str">
        <x:f>IF(O71&lt;5000,"是","否")</x:f>
        <x:v>是</x:v>
      </x:c>
      <x:c r="Q71" s="90" t="str">
        <x:v>国内经济舱通常含20kg；出票前须按实际票价等级复核</x:v>
      </x:c>
      <x:c r="R71" s="90" t="str">
        <x:v>该去程对应的最低可订返程组合；具体返程航班需打开来源链接确认</x:v>
      </x:c>
      <x:c r="S71" s="91" t="n">
        <x:v>46267.746032905095</x:v>
      </x:c>
      <x:c r="T71" s="92" t="str">
        <x:v>https://www.google.com/travel/flights?hl=zh-CN&amp;curr=CNY&amp;q=Flights%20from%20Chongqing%20to%20Kunming%20from%202026-10-01%20to%202026-10-05</x:v>
      </x:c>
      <x:c r="U71" s="136"/>
      <x:c r="V71" s="90"/>
      <x:c r="W71" s="90"/>
      <x:c r="X71" s="137"/>
      <x:c r="Y71" s="90"/>
      <x:c r="Z71" s="90"/>
      <x:c r="AA71" s="90"/>
      <x:c r="AB71" s="90"/>
      <x:c r="AC71" s="90"/>
      <x:c r="AD71" s="138"/>
      <x:c r="AE71" s="90" t="str">
        <x:v>去程当前未找到，返程待核验</x:v>
      </x:c>
      <x:c r="AF71" s="92" t="str">
        <x:v>https://www.google.com/travel/flights?hl=zh-CN&amp;curr=CNY&amp;q=Flights%20from%20Chongqing%20to%20Kunming%20from%202026-10-01%20to%202026-10-05</x:v>
      </x:c>
    </x:row>
    <x:row r="72" ht="42" customHeight="1">
      <x:c r="A72" s="85" t="n">
        <x:f>ROW()-7</x:f>
        <x:v>65</x:v>
      </x:c>
      <x:c r="B72" s="86" t="n">
        <x:v>46297</x:v>
      </x:c>
      <x:c r="C72" s="86" t="n">
        <x:v>46303</x:v>
      </x:c>
      <x:c r="D72" s="87" t="n">
        <x:v>6</x:v>
      </x:c>
      <x:c r="E72" s="88" t="str">
        <x:v>南航</x:v>
      </x:c>
      <x:c r="F72" s="88" t="str">
        <x:v>13:05</x:v>
      </x:c>
      <x:c r="G72" s="88" t="str">
        <x:v>19:05</x:v>
      </x:c>
      <x:c r="H72" s="88" t="str">
        <x:v>重庆江北国际机场</x:v>
      </x:c>
      <x:c r="I72" s="88" t="str">
        <x:v>昆明长水国际机场</x:v>
      </x:c>
      <x:c r="J72" s="88" t="n">
        <x:v>1</x:v>
      </x:c>
      <x:c r="K72" s="88" t="str">
        <x:v>海口市的海口美兰国际机场 / 1 小时 50 分钟</x:v>
      </x:c>
      <x:c r="L72" s="88" t="str">
        <x:v>6 小时</x:v>
      </x:c>
      <x:c r="M72" s="89" t="n">
        <x:v>4260</x:v>
      </x:c>
      <x:c r="N72" s="89" t="n">
        <x:v>0</x:v>
      </x:c>
      <x:c r="O72" s="89" t="n">
        <x:f>M72+N72</x:f>
        <x:v>4260</x:v>
      </x:c>
      <x:c r="P72" s="88" t="str">
        <x:f>IF(O72&lt;5000,"是","否")</x:f>
        <x:v>是</x:v>
      </x:c>
      <x:c r="Q72" s="90" t="str">
        <x:v>国内经济舱通常含20kg；出票前须按实际票价等级复核</x:v>
      </x:c>
      <x:c r="R72" s="90" t="str">
        <x:v>该去程对应的最低可订返程组合；具体返程航班需打开来源链接确认</x:v>
      </x:c>
      <x:c r="S72" s="91" t="n">
        <x:v>46267.746032905095</x:v>
      </x:c>
      <x:c r="T72" s="92" t="str">
        <x:v>https://www.google.com/travel/flights?hl=zh-CN&amp;curr=CNY&amp;q=Flights%20from%20Chongqing%20to%20Kunming%20from%202026-10-02%20to%202026-10-08</x:v>
      </x:c>
      <x:c r="U72" s="136" t="n">
        <x:v>46303</x:v>
      </x:c>
      <x:c r="V72" s="90" t="str">
        <x:v>22:05</x:v>
      </x:c>
      <x:c r="W72" s="90" t="str">
        <x:v>昆明长水国际机场</x:v>
      </x:c>
      <x:c r="X72" s="137" t="n">
        <x:v>46303</x:v>
      </x:c>
      <x:c r="Y72" s="90" t="str">
        <x:v>23:50</x:v>
      </x:c>
      <x:c r="Z72" s="90" t="str">
        <x:v>重庆江北国际机场</x:v>
      </x:c>
      <x:c r="AA72" s="90" t="str">
        <x:v>南航</x:v>
      </x:c>
      <x:c r="AB72" s="90" t="n">
        <x:v>0</x:v>
      </x:c>
      <x:c r="AC72" s="90" t="str">
        <x:v>1 小时 45 分钟</x:v>
      </x:c>
      <x:c r="AD72" s="138" t="n">
        <x:v>4260</x:v>
      </x:c>
      <x:c r="AE72" s="90" t="str">
        <x:v>匹配原始往返起价</x:v>
      </x:c>
      <x:c r="AF72" s="92" t="str">
        <x:v>https://www.google.com/travel/flights/search?tfs=CBwQAhpuEgoyMDI2LTEwLTAyIiAKA0NLRxIKMjAyNi0xMC0wMhoDSEFLKgJDWjIEMjM0MSIgCgNIQUsSCjIwMjYtMTAtMDIaA0tNRyoCQ1oyBDY3MjFqDQgCEgkvbS8wMTcyMzZyDQgCEgkvbS8wMWMwNmQaKhIKMjAyNi0xMC0wOGoNCAISCS9tLzAxYzA2ZHINCAISCS9tLzAxNzIzNkABSAFwAYIBCwj___________8BmAEB&amp;tfu=CnRDalJJTFdzelFXRXhNM05FT1ZGQlJWTmlVRUZDUnkwdExTMHRMUzB0TFMxelpXRmtOa0ZCUVVGQlIzRlpSRTg0UTJoZlltOUJFZzFEV2pJek5ERjhRMW8yTnpJeEdnb0lwQ0VRQUJvRFEwNVpPQnh3bWU4RBIGCAAgAigBIgA&amp;hl=zh-CN&amp;curr=CNY</x:v>
      </x:c>
    </x:row>
    <x:row r="73" ht="42" customHeight="1">
      <x:c r="A73" s="85" t="n">
        <x:f>ROW()-7</x:f>
        <x:v>66</x:v>
      </x:c>
      <x:c r="B73" s="86" t="n">
        <x:v>46297</x:v>
      </x:c>
      <x:c r="C73" s="86" t="n">
        <x:v>46304</x:v>
      </x:c>
      <x:c r="D73" s="87" t="n">
        <x:v>7</x:v>
      </x:c>
      <x:c r="E73" s="88" t="str">
        <x:v>南航</x:v>
      </x:c>
      <x:c r="F73" s="88" t="str">
        <x:v>13:05</x:v>
      </x:c>
      <x:c r="G73" s="88" t="str">
        <x:v>19:05</x:v>
      </x:c>
      <x:c r="H73" s="88" t="str">
        <x:v>重庆江北国际机场</x:v>
      </x:c>
      <x:c r="I73" s="88" t="str">
        <x:v>昆明长水国际机场</x:v>
      </x:c>
      <x:c r="J73" s="88" t="n">
        <x:v>1</x:v>
      </x:c>
      <x:c r="K73" s="88" t="str">
        <x:v>海口市的海口美兰国际机场 / 1 小时 50 分钟</x:v>
      </x:c>
      <x:c r="L73" s="88" t="str">
        <x:v>6 小时</x:v>
      </x:c>
      <x:c r="M73" s="89" t="n">
        <x:v>4260</x:v>
      </x:c>
      <x:c r="N73" s="89" t="n">
        <x:v>0</x:v>
      </x:c>
      <x:c r="O73" s="89" t="n">
        <x:f>M73+N73</x:f>
        <x:v>4260</x:v>
      </x:c>
      <x:c r="P73" s="88" t="str">
        <x:f>IF(O73&lt;5000,"是","否")</x:f>
        <x:v>是</x:v>
      </x:c>
      <x:c r="Q73" s="90" t="str">
        <x:v>国内经济舱通常含20kg；出票前须按实际票价等级复核</x:v>
      </x:c>
      <x:c r="R73" s="90" t="str">
        <x:v>该去程对应的最低可订返程组合；具体返程航班需打开来源链接确认</x:v>
      </x:c>
      <x:c r="S73" s="91" t="n">
        <x:v>46267.746032905095</x:v>
      </x:c>
      <x:c r="T73" s="92" t="str">
        <x:v>https://www.google.com/travel/flights?hl=zh-CN&amp;curr=CNY&amp;q=Flights%20from%20Chongqing%20to%20Kunming%20from%202026-10-02%20to%202026-10-09</x:v>
      </x:c>
      <x:c r="U73" s="136" t="n">
        <x:v>46304</x:v>
      </x:c>
      <x:c r="V73" s="90" t="str">
        <x:v>22:05</x:v>
      </x:c>
      <x:c r="W73" s="90" t="str">
        <x:v>昆明长水国际机场</x:v>
      </x:c>
      <x:c r="X73" s="137" t="n">
        <x:v>46304</x:v>
      </x:c>
      <x:c r="Y73" s="90" t="str">
        <x:v>23:50</x:v>
      </x:c>
      <x:c r="Z73" s="90" t="str">
        <x:v>重庆江北国际机场</x:v>
      </x:c>
      <x:c r="AA73" s="90" t="str">
        <x:v>南航</x:v>
      </x:c>
      <x:c r="AB73" s="90" t="n">
        <x:v>0</x:v>
      </x:c>
      <x:c r="AC73" s="90" t="str">
        <x:v>1 小时 45 分钟</x:v>
      </x:c>
      <x:c r="AD73" s="138" t="n">
        <x:v>4260</x:v>
      </x:c>
      <x:c r="AE73" s="90" t="str">
        <x:v>匹配原始往返起价</x:v>
      </x:c>
      <x:c r="AF73" s="92" t="str">
        <x:v>https://www.google.com/travel/flights/search?tfs=CBwQAhpuEgoyMDI2LTEwLTAyIiAKA0NLRxIKMjAyNi0xMC0wMhoDSEFLKgJDWjIEMjM0MSIgCgNIQUsSCjIwMjYtMTAtMDIaA0tNRyoCQ1oyBDY3MjFqDQgCEgkvbS8wMTcyMzZyDQgCEgkvbS8wMWMwNmQaKhIKMjAyNi0xMC0wOWoNCAISCS9tLzAxYzA2ZHINCAISCS9tLzAxNzIzNkABSAFwAYIBCwj___________8BmAEB&amp;tfu=CnRDalJJVTFCd2FUaFNTbWhxVTBsQlJWYzRWM2RDUnkwdExTMHRMUzB0YzIxck1TMXVNVUZCUVVGQlIzRlpSRTgwU0VWb1dGZEJFZzFEV2pJek5ERjhRMW8yTnpJeEdnb0lwQ0VRQUJvRFEwNVpPQnh3bWU4RBIGCAAgAigBIgA&amp;hl=zh-CN&amp;curr=CNY</x:v>
      </x:c>
    </x:row>
    <x:row r="74" ht="42" customHeight="1">
      <x:c r="A74" s="85" t="n">
        <x:f>ROW()-7</x:f>
        <x:v>67</x:v>
      </x:c>
      <x:c r="B74" s="86" t="n">
        <x:v>46297</x:v>
      </x:c>
      <x:c r="C74" s="86" t="n">
        <x:v>46303</x:v>
      </x:c>
      <x:c r="D74" s="87" t="n">
        <x:v>6</x:v>
      </x:c>
      <x:c r="E74" s="88" t="str">
        <x:v>南航</x:v>
      </x:c>
      <x:c r="F74" s="88" t="str">
        <x:v>22:10</x:v>
      </x:c>
      <x:c r="G74" s="88" t="str">
        <x:v>09:40 +1</x:v>
      </x:c>
      <x:c r="H74" s="88" t="str">
        <x:v>重庆江北国际机场</x:v>
      </x:c>
      <x:c r="I74" s="88" t="str">
        <x:v>昆明长水国际机场</x:v>
      </x:c>
      <x:c r="J74" s="88" t="n">
        <x:v>1</x:v>
      </x:c>
      <x:c r="K74" s="88" t="str">
        <x:v>海口市的海口美兰国际机场 / 7 小时 15 分钟</x:v>
      </x:c>
      <x:c r="L74" s="88" t="str">
        <x:v>11 小时 30 分钟</x:v>
      </x:c>
      <x:c r="M74" s="89" t="n">
        <x:v>4260</x:v>
      </x:c>
      <x:c r="N74" s="89" t="n">
        <x:v>0</x:v>
      </x:c>
      <x:c r="O74" s="89" t="n">
        <x:f>M74+N74</x:f>
        <x:v>4260</x:v>
      </x:c>
      <x:c r="P74" s="88" t="str">
        <x:f>IF(O74&lt;5000,"是","否")</x:f>
        <x:v>是</x:v>
      </x:c>
      <x:c r="Q74" s="90" t="str">
        <x:v>国内经济舱通常含20kg；出票前须按实际票价等级复核</x:v>
      </x:c>
      <x:c r="R74" s="90" t="str">
        <x:v>该去程对应的最低可订返程组合；具体返程航班需打开来源链接确认</x:v>
      </x:c>
      <x:c r="S74" s="91" t="n">
        <x:v>46267.746032905095</x:v>
      </x:c>
      <x:c r="T74" s="92" t="str">
        <x:v>https://www.google.com/travel/flights?hl=zh-CN&amp;curr=CNY&amp;q=Flights%20from%20Chongqing%20to%20Kunming%20from%202026-10-02%20to%202026-10-08</x:v>
      </x:c>
      <x:c r="U74" s="136" t="n">
        <x:v>46303</x:v>
      </x:c>
      <x:c r="V74" s="90" t="str">
        <x:v>22:05</x:v>
      </x:c>
      <x:c r="W74" s="90" t="str">
        <x:v>昆明长水国际机场</x:v>
      </x:c>
      <x:c r="X74" s="137" t="n">
        <x:v>46303</x:v>
      </x:c>
      <x:c r="Y74" s="90" t="str">
        <x:v>23:50</x:v>
      </x:c>
      <x:c r="Z74" s="90" t="str">
        <x:v>重庆江北国际机场</x:v>
      </x:c>
      <x:c r="AA74" s="90" t="str">
        <x:v>南航</x:v>
      </x:c>
      <x:c r="AB74" s="90" t="n">
        <x:v>0</x:v>
      </x:c>
      <x:c r="AC74" s="90" t="str">
        <x:v>1 小时 45 分钟</x:v>
      </x:c>
      <x:c r="AD74" s="138" t="n">
        <x:v>4260</x:v>
      </x:c>
      <x:c r="AE74" s="90" t="str">
        <x:v>匹配原始往返起价</x:v>
      </x:c>
      <x:c r="AF74" s="92" t="str">
        <x:v>https://www.google.com/travel/flights/search?tfs=CBwQAhpuEgoyMDI2LTEwLTAyIiAKA0NLRxIKMjAyNi0xMC0wMhoDSEFLKgJDWjIEODY5MCIgCgNIQUsSCjIwMjYtMTAtMDMaA0tNRyoCQ1oyBDM0MzFqDQgCEgkvbS8wMTcyMzZyDQgCEgkvbS8wMWMwNmQaKhIKMjAyNi0xMC0wOGoNCAISCS9tLzAxYzA2ZHINCAISCS9tLzAxNzIzNkABSAFwAYIBCwj___________8BmAEB&amp;tfu=CnRDalJJYTBKcFduQjNPRU4zUjFGQlJYUk5XRkZDUnkwdExTMHRMWE5sY0dReE1TMXVNVUZCUVVGQlIzRlpSRTkzVEZsWGVuRkJFZzFEV2pnMk9UQjhRMW96TkRNeEdnb0lwQ0VRQUJvRFEwNVpPQnh3bWU4RBICCAAiAA&amp;hl=zh-CN&amp;curr=CNY</x:v>
      </x:c>
    </x:row>
    <x:row r="75" ht="42" customHeight="1">
      <x:c r="A75" s="85" t="n">
        <x:f>ROW()-7</x:f>
        <x:v>68</x:v>
      </x:c>
      <x:c r="B75" s="86" t="n">
        <x:v>46297</x:v>
      </x:c>
      <x:c r="C75" s="86" t="n">
        <x:v>46304</x:v>
      </x:c>
      <x:c r="D75" s="87" t="n">
        <x:v>7</x:v>
      </x:c>
      <x:c r="E75" s="88" t="str">
        <x:v>南航</x:v>
      </x:c>
      <x:c r="F75" s="88" t="str">
        <x:v>22:10</x:v>
      </x:c>
      <x:c r="G75" s="88" t="str">
        <x:v>09:40 +1</x:v>
      </x:c>
      <x:c r="H75" s="88" t="str">
        <x:v>重庆江北国际机场</x:v>
      </x:c>
      <x:c r="I75" s="88" t="str">
        <x:v>昆明长水国际机场</x:v>
      </x:c>
      <x:c r="J75" s="88" t="n">
        <x:v>1</x:v>
      </x:c>
      <x:c r="K75" s="88" t="str">
        <x:v>海口市的海口美兰国际机场 / 7 小时 15 分钟</x:v>
      </x:c>
      <x:c r="L75" s="88" t="str">
        <x:v>11 小时 30 分钟</x:v>
      </x:c>
      <x:c r="M75" s="89" t="n">
        <x:v>4260</x:v>
      </x:c>
      <x:c r="N75" s="89" t="n">
        <x:v>0</x:v>
      </x:c>
      <x:c r="O75" s="89" t="n">
        <x:f>M75+N75</x:f>
        <x:v>4260</x:v>
      </x:c>
      <x:c r="P75" s="88" t="str">
        <x:f>IF(O75&lt;5000,"是","否")</x:f>
        <x:v>是</x:v>
      </x:c>
      <x:c r="Q75" s="90" t="str">
        <x:v>国内经济舱通常含20kg；出票前须按实际票价等级复核</x:v>
      </x:c>
      <x:c r="R75" s="90" t="str">
        <x:v>该去程对应的最低可订返程组合；具体返程航班需打开来源链接确认</x:v>
      </x:c>
      <x:c r="S75" s="91" t="n">
        <x:v>46267.746032905095</x:v>
      </x:c>
      <x:c r="T75" s="92" t="str">
        <x:v>https://www.google.com/travel/flights?hl=zh-CN&amp;curr=CNY&amp;q=Flights%20from%20Chongqing%20to%20Kunming%20from%202026-10-02%20to%202026-10-09</x:v>
      </x:c>
      <x:c r="U75" s="136"/>
      <x:c r="V75" s="90"/>
      <x:c r="W75" s="90"/>
      <x:c r="X75" s="137"/>
      <x:c r="Y75" s="90"/>
      <x:c r="Z75" s="90"/>
      <x:c r="AA75" s="90"/>
      <x:c r="AB75" s="90"/>
      <x:c r="AC75" s="90"/>
      <x:c r="AD75" s="138"/>
      <x:c r="AE75" s="90" t="str">
        <x:v>去程当前未找到，返程待核验</x:v>
      </x:c>
      <x:c r="AF75" s="92" t="str">
        <x:v>https://www.google.com/travel/flights?hl=zh-CN&amp;curr=CNY&amp;q=Flights%20from%20Chongqing%20to%20Kunming%20from%202026-10-02%20to%202026-10-09</x:v>
      </x:c>
    </x:row>
    <x:row r="76" ht="42" customHeight="1">
      <x:c r="A76" s="85" t="n">
        <x:f>ROW()-7</x:f>
        <x:v>69</x:v>
      </x:c>
      <x:c r="B76" s="86" t="n">
        <x:v>46298</x:v>
      </x:c>
      <x:c r="C76" s="86" t="n">
        <x:v>46304</x:v>
      </x:c>
      <x:c r="D76" s="87" t="n">
        <x:v>6</x:v>
      </x:c>
      <x:c r="E76" s="88" t="str">
        <x:v>南航</x:v>
      </x:c>
      <x:c r="F76" s="88" t="str">
        <x:v>13:05</x:v>
      </x:c>
      <x:c r="G76" s="88" t="str">
        <x:v>18:50</x:v>
      </x:c>
      <x:c r="H76" s="88" t="str">
        <x:v>重庆江北国际机场</x:v>
      </x:c>
      <x:c r="I76" s="88" t="str">
        <x:v>昆明长水国际机场</x:v>
      </x:c>
      <x:c r="J76" s="88" t="n">
        <x:v>1</x:v>
      </x:c>
      <x:c r="K76" s="88" t="str">
        <x:v>海口市的海口美兰国际机场 / 1 小时 50 分钟</x:v>
      </x:c>
      <x:c r="L76" s="88" t="str">
        <x:v>5 小时 45 分钟</x:v>
      </x:c>
      <x:c r="M76" s="89" t="n">
        <x:v>4260</x:v>
      </x:c>
      <x:c r="N76" s="89" t="n">
        <x:v>0</x:v>
      </x:c>
      <x:c r="O76" s="89" t="n">
        <x:f>M76+N76</x:f>
        <x:v>4260</x:v>
      </x:c>
      <x:c r="P76" s="88" t="str">
        <x:f>IF(O76&lt;5000,"是","否")</x:f>
        <x:v>是</x:v>
      </x:c>
      <x:c r="Q76" s="90" t="str">
        <x:v>国内经济舱通常含20kg；出票前须按实际票价等级复核</x:v>
      </x:c>
      <x:c r="R76" s="90" t="str">
        <x:v>该去程对应的最低可订返程组合；具体返程航班需打开来源链接确认</x:v>
      </x:c>
      <x:c r="S76" s="91" t="n">
        <x:v>46267.746032905095</x:v>
      </x:c>
      <x:c r="T76" s="92" t="str">
        <x:v>https://www.google.com/travel/flights?hl=zh-CN&amp;curr=CNY&amp;q=Flights%20from%20Chongqing%20to%20Kunming%20from%202026-10-03%20to%202026-10-09</x:v>
      </x:c>
      <x:c r="U76" s="136" t="n">
        <x:v>46304</x:v>
      </x:c>
      <x:c r="V76" s="90" t="str">
        <x:v>22:05</x:v>
      </x:c>
      <x:c r="W76" s="90" t="str">
        <x:v>昆明长水国际机场</x:v>
      </x:c>
      <x:c r="X76" s="137" t="n">
        <x:v>46304</x:v>
      </x:c>
      <x:c r="Y76" s="90" t="str">
        <x:v>23:50</x:v>
      </x:c>
      <x:c r="Z76" s="90" t="str">
        <x:v>重庆江北国际机场</x:v>
      </x:c>
      <x:c r="AA76" s="90" t="str">
        <x:v>南航</x:v>
      </x:c>
      <x:c r="AB76" s="90" t="n">
        <x:v>0</x:v>
      </x:c>
      <x:c r="AC76" s="90" t="str">
        <x:v>1 小时 45 分钟</x:v>
      </x:c>
      <x:c r="AD76" s="138" t="n">
        <x:v>4260</x:v>
      </x:c>
      <x:c r="AE76" s="90" t="str">
        <x:v>匹配原始往返起价</x:v>
      </x:c>
      <x:c r="AF76" s="92" t="str">
        <x:v>https://www.google.com/travel/flights/search?tfs=CBwQAhpuEgoyMDI2LTEwLTAzIiAKA0NLRxIKMjAyNi0xMC0wMxoDSEFLKgJDWjIEMjM0MSIgCgNIQUsSCjIwMjYtMTAtMDMaA0tNRyoCQ1oyBDY3MjFqDQgCEgkvbS8wMTcyMzZyDQgCEgkvbS8wMWMwNmQaKhIKMjAyNi0xMC0wOWoNCAISCS9tLzAxYzA2ZHINCAISCS9tLzAxNzIzNkABSAFwAYIBCwj___________8BmAEB&amp;tfu=CnRDalJJY2pKUlRVOUphVk5QUmxsQlJIWlZTM2RDUnkwdExTMHRMUzB0TFMxemJXRXhNMEZCUVVGQlIzRlpSRkIzVGtSc1NFdEJFZzFEV2pJek5ERjhRMW8yTnpJeEdnb0lwQ0VRQUJvRFEwNVpPQnh3bWU4RBIGCAAgAigBIgA&amp;hl=zh-CN&amp;curr=CNY</x:v>
      </x:c>
    </x:row>
    <x:row r="77" ht="42" customHeight="1">
      <x:c r="A77" s="85" t="n">
        <x:f>ROW()-7</x:f>
        <x:v>70</x:v>
      </x:c>
      <x:c r="B77" s="86" t="n">
        <x:v>46298</x:v>
      </x:c>
      <x:c r="C77" s="86" t="n">
        <x:v>46302</x:v>
      </x:c>
      <x:c r="D77" s="87" t="n">
        <x:v>4</x:v>
      </x:c>
      <x:c r="E77" s="88" t="str">
        <x:v>南航</x:v>
      </x:c>
      <x:c r="F77" s="88" t="str">
        <x:v>22:10</x:v>
      </x:c>
      <x:c r="G77" s="88" t="str">
        <x:v>09:40 +1</x:v>
      </x:c>
      <x:c r="H77" s="88" t="str">
        <x:v>重庆江北国际机场</x:v>
      </x:c>
      <x:c r="I77" s="88" t="str">
        <x:v>昆明长水国际机场</x:v>
      </x:c>
      <x:c r="J77" s="88" t="n">
        <x:v>1</x:v>
      </x:c>
      <x:c r="K77" s="88" t="str">
        <x:v>海口市的海口美兰国际机场 / 7 小时 15 分钟</x:v>
      </x:c>
      <x:c r="L77" s="88" t="str">
        <x:v>11 小时 30 分钟</x:v>
      </x:c>
      <x:c r="M77" s="89" t="n">
        <x:v>4260</x:v>
      </x:c>
      <x:c r="N77" s="89" t="n">
        <x:v>0</x:v>
      </x:c>
      <x:c r="O77" s="89" t="n">
        <x:f>M77+N77</x:f>
        <x:v>4260</x:v>
      </x:c>
      <x:c r="P77" s="88" t="str">
        <x:f>IF(O77&lt;5000,"是","否")</x:f>
        <x:v>是</x:v>
      </x:c>
      <x:c r="Q77" s="90" t="str">
        <x:v>国内经济舱通常含20kg；出票前须按实际票价等级复核</x:v>
      </x:c>
      <x:c r="R77" s="90" t="str">
        <x:v>该去程对应的最低可订返程组合；具体返程航班需打开来源链接确认</x:v>
      </x:c>
      <x:c r="S77" s="91" t="n">
        <x:v>46267.746032905095</x:v>
      </x:c>
      <x:c r="T77" s="92" t="str">
        <x:v>https://www.google.com/travel/flights?hl=zh-CN&amp;curr=CNY&amp;q=Flights%20from%20Chongqing%20to%20Kunming%20from%202026-10-03%20to%202026-10-07</x:v>
      </x:c>
      <x:c r="U77" s="136" t="n">
        <x:v>46302</x:v>
      </x:c>
      <x:c r="V77" s="90" t="str">
        <x:v>22:05</x:v>
      </x:c>
      <x:c r="W77" s="90" t="str">
        <x:v>昆明长水国际机场</x:v>
      </x:c>
      <x:c r="X77" s="137" t="n">
        <x:v>46302</x:v>
      </x:c>
      <x:c r="Y77" s="90" t="str">
        <x:v>23:50</x:v>
      </x:c>
      <x:c r="Z77" s="90" t="str">
        <x:v>重庆江北国际机场</x:v>
      </x:c>
      <x:c r="AA77" s="90" t="str">
        <x:v>南航</x:v>
      </x:c>
      <x:c r="AB77" s="90" t="n">
        <x:v>0</x:v>
      </x:c>
      <x:c r="AC77" s="90" t="str">
        <x:v>1 小时 45 分钟</x:v>
      </x:c>
      <x:c r="AD77" s="138" t="n">
        <x:v>4260</x:v>
      </x:c>
      <x:c r="AE77" s="90" t="str">
        <x:v>匹配原始往返起价</x:v>
      </x:c>
      <x:c r="AF77" s="92" t="str">
        <x:v>https://www.google.com/travel/flights/search?tfs=CBwQAhpuEgoyMDI2LTEwLTAzIiAKA0NLRxIKMjAyNi0xMC0wMxoDSEFLKgJDWjIEODY5MCIgCgNIQUsSCjIwMjYtMTAtMDQaA0tNRyoCQ1oyBDM0MzFqDQgCEgkvbS8wMTcyMzZyDQgCEgkvbS8wMWMwNmQaKhIKMjAyNi0xMC0wN2oNCAISCS9tLzAxYzA2ZHINCAISCS9tLzAxNzIzNkABSAFwAYIBCwj___________8BmAEB&amp;tfu=CnRDalJJZEU5VWJEQndRbVpTWVhkQlIyUk5TWGRDUnkwdExTMHRMUzB0YzJWaVozSXpNMEZCUVVGQlIzRlpSRkJ2VFZGd2JIbEJFZzFEV2pnMk9UQjhRMW96TkRNeEdnb0lwQ0VRQUJvRFEwNVpPQnh3bWU4RBICCAAiAA&amp;hl=zh-CN&amp;curr=CNY</x:v>
      </x:c>
    </x:row>
    <x:row r="78" ht="42" customHeight="1">
      <x:c r="A78" s="85" t="n">
        <x:f>ROW()-7</x:f>
        <x:v>71</x:v>
      </x:c>
      <x:c r="B78" s="86" t="n">
        <x:v>46298</x:v>
      </x:c>
      <x:c r="C78" s="86" t="n">
        <x:v>46303</x:v>
      </x:c>
      <x:c r="D78" s="87" t="n">
        <x:v>5</x:v>
      </x:c>
      <x:c r="E78" s="88" t="str">
        <x:v>南航</x:v>
      </x:c>
      <x:c r="F78" s="88" t="str">
        <x:v>22:10</x:v>
      </x:c>
      <x:c r="G78" s="88" t="str">
        <x:v>09:40 +1</x:v>
      </x:c>
      <x:c r="H78" s="88" t="str">
        <x:v>重庆江北国际机场</x:v>
      </x:c>
      <x:c r="I78" s="88" t="str">
        <x:v>昆明长水国际机场</x:v>
      </x:c>
      <x:c r="J78" s="88" t="n">
        <x:v>1</x:v>
      </x:c>
      <x:c r="K78" s="88" t="str">
        <x:v>海口市的海口美兰国际机场 / 7 小时 15 分钟</x:v>
      </x:c>
      <x:c r="L78" s="88" t="str">
        <x:v>11 小时 30 分钟</x:v>
      </x:c>
      <x:c r="M78" s="89" t="n">
        <x:v>4260</x:v>
      </x:c>
      <x:c r="N78" s="89" t="n">
        <x:v>0</x:v>
      </x:c>
      <x:c r="O78" s="89" t="n">
        <x:f>M78+N78</x:f>
        <x:v>4260</x:v>
      </x:c>
      <x:c r="P78" s="88" t="str">
        <x:f>IF(O78&lt;5000,"是","否")</x:f>
        <x:v>是</x:v>
      </x:c>
      <x:c r="Q78" s="90" t="str">
        <x:v>国内经济舱通常含20kg；出票前须按实际票价等级复核</x:v>
      </x:c>
      <x:c r="R78" s="90" t="str">
        <x:v>该去程对应的最低可订返程组合；具体返程航班需打开来源链接确认</x:v>
      </x:c>
      <x:c r="S78" s="91" t="n">
        <x:v>46267.746032905095</x:v>
      </x:c>
      <x:c r="T78" s="92" t="str">
        <x:v>https://www.google.com/travel/flights?hl=zh-CN&amp;curr=CNY&amp;q=Flights%20from%20Chongqing%20to%20Kunming%20from%202026-10-03%20to%202026-10-08</x:v>
      </x:c>
      <x:c r="U78" s="136" t="n">
        <x:v>46303</x:v>
      </x:c>
      <x:c r="V78" s="90" t="str">
        <x:v>22:05</x:v>
      </x:c>
      <x:c r="W78" s="90" t="str">
        <x:v>昆明长水国际机场</x:v>
      </x:c>
      <x:c r="X78" s="137" t="n">
        <x:v>46303</x:v>
      </x:c>
      <x:c r="Y78" s="90" t="str">
        <x:v>23:50</x:v>
      </x:c>
      <x:c r="Z78" s="90" t="str">
        <x:v>重庆江北国际机场</x:v>
      </x:c>
      <x:c r="AA78" s="90" t="str">
        <x:v>南航</x:v>
      </x:c>
      <x:c r="AB78" s="90" t="n">
        <x:v>0</x:v>
      </x:c>
      <x:c r="AC78" s="90" t="str">
        <x:v>1 小时 45 分钟</x:v>
      </x:c>
      <x:c r="AD78" s="138" t="n">
        <x:v>4260</x:v>
      </x:c>
      <x:c r="AE78" s="90" t="str">
        <x:v>匹配原始往返起价</x:v>
      </x:c>
      <x:c r="AF78" s="92" t="str">
        <x:v>https://www.google.com/travel/flights/search?tfs=CBwQAhpuEgoyMDI2LTEwLTAzIiAKA0NLRxIKMjAyNi0xMC0wMxoDSEFLKgJDWjIEODY5MCIgCgNIQUsSCjIwMjYtMTAtMDQaA0tNRyoCQ1oyBDM0MzFqDQgCEgkvbS8wMTcyMzZyDQgCEgkvbS8wMWMwNmQaKhIKMjAyNi0xMC0wOGoNCAISCS9tLzAxYzA2ZHINCAISCS9tLzAxNzIzNkABSAFwAYIBCwj___________8BmAEB&amp;tfu=CnRDalJJVGxGb1IzSTNiM1ZaTUVsQlJXbzRObEZDUnkwdExTMHRMUzB0TFhObGRYVXlNa0ZCUVVGQlIzRlpSRkJ2VEZaMGJtbEJFZzFEV2pnMk9UQjhRMW96TkRNeEdnb0lwQ0VRQUJvRFEwNVpPQnh3bWU4RBICCAAiAA&amp;hl=zh-CN&amp;curr=CNY</x:v>
      </x:c>
    </x:row>
    <x:row r="79" ht="42" customHeight="1">
      <x:c r="A79" s="85" t="n">
        <x:f>ROW()-7</x:f>
        <x:v>72</x:v>
      </x:c>
      <x:c r="B79" s="86" t="n">
        <x:v>46299</x:v>
      </x:c>
      <x:c r="C79" s="86" t="n">
        <x:v>46304</x:v>
      </x:c>
      <x:c r="D79" s="87" t="n">
        <x:v>5</x:v>
      </x:c>
      <x:c r="E79" s="88" t="str">
        <x:v>南航</x:v>
      </x:c>
      <x:c r="F79" s="88" t="str">
        <x:v>13:05</x:v>
      </x:c>
      <x:c r="G79" s="88" t="str">
        <x:v>19:05</x:v>
      </x:c>
      <x:c r="H79" s="88" t="str">
        <x:v>重庆江北国际机场</x:v>
      </x:c>
      <x:c r="I79" s="88" t="str">
        <x:v>昆明长水国际机场</x:v>
      </x:c>
      <x:c r="J79" s="88" t="n">
        <x:v>1</x:v>
      </x:c>
      <x:c r="K79" s="88" t="str">
        <x:v>海口市的海口美兰国际机场 / 1 小时 50 分钟</x:v>
      </x:c>
      <x:c r="L79" s="88" t="str">
        <x:v>6 小时</x:v>
      </x:c>
      <x:c r="M79" s="89" t="n">
        <x:v>4260</x:v>
      </x:c>
      <x:c r="N79" s="89" t="n">
        <x:v>0</x:v>
      </x:c>
      <x:c r="O79" s="89" t="n">
        <x:f>M79+N79</x:f>
        <x:v>4260</x:v>
      </x:c>
      <x:c r="P79" s="88" t="str">
        <x:f>IF(O79&lt;5000,"是","否")</x:f>
        <x:v>是</x:v>
      </x:c>
      <x:c r="Q79" s="90" t="str">
        <x:v>国内经济舱通常含20kg；出票前须按实际票价等级复核</x:v>
      </x:c>
      <x:c r="R79" s="90" t="str">
        <x:v>该去程对应的最低可订返程组合；具体返程航班需打开来源链接确认</x:v>
      </x:c>
      <x:c r="S79" s="91" t="n">
        <x:v>46267.746032905095</x:v>
      </x:c>
      <x:c r="T79" s="92" t="str">
        <x:v>https://www.google.com/travel/flights?hl=zh-CN&amp;curr=CNY&amp;q=Flights%20from%20Chongqing%20to%20Kunming%20from%202026-10-04%20to%202026-10-09</x:v>
      </x:c>
      <x:c r="U79" s="136" t="n">
        <x:v>46304</x:v>
      </x:c>
      <x:c r="V79" s="90" t="str">
        <x:v>22:05</x:v>
      </x:c>
      <x:c r="W79" s="90" t="str">
        <x:v>昆明长水国际机场</x:v>
      </x:c>
      <x:c r="X79" s="137" t="n">
        <x:v>46304</x:v>
      </x:c>
      <x:c r="Y79" s="90" t="str">
        <x:v>23:50</x:v>
      </x:c>
      <x:c r="Z79" s="90" t="str">
        <x:v>重庆江北国际机场</x:v>
      </x:c>
      <x:c r="AA79" s="90" t="str">
        <x:v>南航</x:v>
      </x:c>
      <x:c r="AB79" s="90" t="n">
        <x:v>0</x:v>
      </x:c>
      <x:c r="AC79" s="90" t="str">
        <x:v>1 小时 45 分钟</x:v>
      </x:c>
      <x:c r="AD79" s="138" t="n">
        <x:v>4260</x:v>
      </x:c>
      <x:c r="AE79" s="90" t="str">
        <x:v>匹配原始往返起价</x:v>
      </x:c>
      <x:c r="AF79" s="92" t="str">
        <x:v>https://www.google.com/travel/flights/search?tfs=CBwQAhpuEgoyMDI2LTEwLTA0IiAKA0NLRxIKMjAyNi0xMC0wNBoDSEFLKgJDWjIEMjM0MSIgCgNIQUsSCjIwMjYtMTAtMDQaA0tNRyoCQ1oyBDY3MjFqDQgCEgkvbS8wMTcyMzZyDQgCEgkvbS8wMWMwNmQaKhIKMjAyNi0xMC0wOWoNCAISCS9tLzAxYzA2ZHINCAISCS9tLzAxNzIzNkABSAFwAYIBCwj___________8BmAEB&amp;tfu=CnRDalJJWkZWWlJYTm9WSE5zUkc5QlJVZFpTbmRDUnkwdExTMHRMWE50WW1aM09TMXVNVUZCUVVGQlIzRlpSRkIzVDB0VFJUQkJFZzFEV2pJek5ERjhRMW8yTnpJeEdnb0lwQ0VRQUJvRFEwNVpPQnh3bWU4RBIGCAAgAigBIgA&amp;hl=zh-CN&amp;curr=CNY</x:v>
      </x:c>
    </x:row>
    <x:row r="80" ht="42" customHeight="1">
      <x:c r="A80" s="85" t="n">
        <x:f>ROW()-7</x:f>
        <x:v>73</x:v>
      </x:c>
      <x:c r="B80" s="86" t="n">
        <x:v>46300</x:v>
      </x:c>
      <x:c r="C80" s="86" t="n">
        <x:v>46304</x:v>
      </x:c>
      <x:c r="D80" s="87" t="n">
        <x:v>4</x:v>
      </x:c>
      <x:c r="E80" s="88" t="str">
        <x:v>南航</x:v>
      </x:c>
      <x:c r="F80" s="88" t="str">
        <x:v>13:05</x:v>
      </x:c>
      <x:c r="G80" s="88" t="str">
        <x:v>19:05</x:v>
      </x:c>
      <x:c r="H80" s="88" t="str">
        <x:v>重庆江北国际机场</x:v>
      </x:c>
      <x:c r="I80" s="88" t="str">
        <x:v>昆明长水国际机场</x:v>
      </x:c>
      <x:c r="J80" s="88" t="n">
        <x:v>1</x:v>
      </x:c>
      <x:c r="K80" s="88" t="str">
        <x:v>海口市的海口美兰国际机场 / 1 小时 50 分钟</x:v>
      </x:c>
      <x:c r="L80" s="88" t="str">
        <x:v>6 小时</x:v>
      </x:c>
      <x:c r="M80" s="89" t="n">
        <x:v>4260</x:v>
      </x:c>
      <x:c r="N80" s="89" t="n">
        <x:v>0</x:v>
      </x:c>
      <x:c r="O80" s="89" t="n">
        <x:f>M80+N80</x:f>
        <x:v>4260</x:v>
      </x:c>
      <x:c r="P80" s="88" t="str">
        <x:f>IF(O80&lt;5000,"是","否")</x:f>
        <x:v>是</x:v>
      </x:c>
      <x:c r="Q80" s="90" t="str">
        <x:v>国内经济舱通常含20kg；出票前须按实际票价等级复核</x:v>
      </x:c>
      <x:c r="R80" s="90" t="str">
        <x:v>该去程对应的最低可订返程组合；具体返程航班需打开来源链接确认</x:v>
      </x:c>
      <x:c r="S80" s="91" t="n">
        <x:v>46267.746032905095</x:v>
      </x:c>
      <x:c r="T80" s="92" t="str">
        <x:v>https://www.google.com/travel/flights?hl=zh-CN&amp;curr=CNY&amp;q=Flights%20from%20Chongqing%20to%20Kunming%20from%202026-10-05%20to%202026-10-09</x:v>
      </x:c>
      <x:c r="U80" s="136" t="n">
        <x:v>46304</x:v>
      </x:c>
      <x:c r="V80" s="90" t="str">
        <x:v>22:05</x:v>
      </x:c>
      <x:c r="W80" s="90" t="str">
        <x:v>昆明长水国际机场</x:v>
      </x:c>
      <x:c r="X80" s="137" t="n">
        <x:v>46304</x:v>
      </x:c>
      <x:c r="Y80" s="90" t="str">
        <x:v>23:50</x:v>
      </x:c>
      <x:c r="Z80" s="90" t="str">
        <x:v>重庆江北国际机场</x:v>
      </x:c>
      <x:c r="AA80" s="90" t="str">
        <x:v>南航</x:v>
      </x:c>
      <x:c r="AB80" s="90" t="n">
        <x:v>0</x:v>
      </x:c>
      <x:c r="AC80" s="90" t="str">
        <x:v>1 小时 45 分钟</x:v>
      </x:c>
      <x:c r="AD80" s="138" t="n">
        <x:v>4260</x:v>
      </x:c>
      <x:c r="AE80" s="90" t="str">
        <x:v>匹配原始往返起价</x:v>
      </x:c>
      <x:c r="AF80" s="92" t="str">
        <x:v>https://www.google.com/travel/flights/search?tfs=CBwQAhpuEgoyMDI2LTEwLTA1IiAKA0NLRxIKMjAyNi0xMC0wNRoDSEFLKgJDWjIEMjM0MSIgCgNIQUsSCjIwMjYtMTAtMDUaA0tNRyoCQ1oyBDY3MjFqDQgCEgkvbS8wMTcyMzZyDQgCEgkvbS8wMWMwNmQaKhIKMjAyNi0xMC0wOWoNCAISCS9tLzAxYzA2ZHINCAISCS9tLzAxNzIzNkABSAFwAYIBCwj___________8BmAEB&amp;tfu=CnRDalJJZEU5VWJEQndRbVpTWVhkQlIyUlpZMUZDUnkwdExTMHRMUzB0YzJWaVozSXpNMEZCUVVGQlIzRlpSRkpGU2tJMU5YRkJFZzFEV2pJek5ERjhRMW8yTnpJeEdnb0lwQ0VRQUJvRFEwNVpPQnh3bWU4RBIGCAAgAigBIgA&amp;hl=zh-CN&amp;curr=CNY</x:v>
      </x:c>
    </x:row>
    <x:row r="81" ht="42" customHeight="1">
      <x:c r="A81" s="85" t="n">
        <x:f>ROW()-7</x:f>
        <x:v>74</x:v>
      </x:c>
      <x:c r="B81" s="86" t="n">
        <x:v>46299</x:v>
      </x:c>
      <x:c r="C81" s="86" t="n">
        <x:v>46304</x:v>
      </x:c>
      <x:c r="D81" s="87" t="n">
        <x:v>5</x:v>
      </x:c>
      <x:c r="E81" s="88" t="str">
        <x:v>南航</x:v>
      </x:c>
      <x:c r="F81" s="88" t="str">
        <x:v>11:45</x:v>
      </x:c>
      <x:c r="G81" s="88" t="str">
        <x:v>20:00</x:v>
      </x:c>
      <x:c r="H81" s="88" t="str">
        <x:v>重庆江北国际机场</x:v>
      </x:c>
      <x:c r="I81" s="88" t="str">
        <x:v>昆明长水国际机场</x:v>
      </x:c>
      <x:c r="J81" s="88" t="n">
        <x:v>1</x:v>
      </x:c>
      <x:c r="K81" s="88" t="str">
        <x:v>珠海市的珠海金湾机场 / 4 小时 10 分钟</x:v>
      </x:c>
      <x:c r="L81" s="88" t="str">
        <x:v>8 小时 15 分钟</x:v>
      </x:c>
      <x:c r="M81" s="89" t="n">
        <x:v>4380</x:v>
      </x:c>
      <x:c r="N81" s="89" t="n">
        <x:v>0</x:v>
      </x:c>
      <x:c r="O81" s="89" t="n">
        <x:f>M81+N81</x:f>
        <x:v>4380</x:v>
      </x:c>
      <x:c r="P81" s="88" t="str">
        <x:f>IF(O81&lt;5000,"是","否")</x:f>
        <x:v>是</x:v>
      </x:c>
      <x:c r="Q81" s="90" t="str">
        <x:v>国内经济舱通常含20kg；出票前须按实际票价等级复核</x:v>
      </x:c>
      <x:c r="R81" s="90" t="str">
        <x:v>该去程对应的最低可订返程组合；具体返程航班需打开来源链接确认</x:v>
      </x:c>
      <x:c r="S81" s="91" t="n">
        <x:v>46267.746032905095</x:v>
      </x:c>
      <x:c r="T81" s="92" t="str">
        <x:v>https://www.google.com/travel/flights?hl=zh-CN&amp;curr=CNY&amp;q=Flights%20from%20Chongqing%20to%20Kunming%20from%202026-10-04%20to%202026-10-09</x:v>
      </x:c>
      <x:c r="U81" s="136"/>
      <x:c r="V81" s="90"/>
      <x:c r="W81" s="90"/>
      <x:c r="X81" s="137"/>
      <x:c r="Y81" s="90"/>
      <x:c r="Z81" s="90"/>
      <x:c r="AA81" s="90"/>
      <x:c r="AB81" s="90"/>
      <x:c r="AC81" s="90"/>
      <x:c r="AD81" s="138"/>
      <x:c r="AE81" s="90" t="str">
        <x:v>去程当前未找到，返程待核验</x:v>
      </x:c>
      <x:c r="AF81" s="92" t="str">
        <x:v>https://www.google.com/travel/flights?hl=zh-CN&amp;curr=CNY&amp;q=Flights%20from%20Chongqing%20to%20Kunming%20from%202026-10-04%20to%202026-10-09</x:v>
      </x:c>
    </x:row>
    <x:row r="82" ht="42" customHeight="1">
      <x:c r="A82" s="85" t="n">
        <x:f>ROW()-7</x:f>
        <x:v>75</x:v>
      </x:c>
      <x:c r="B82" s="86" t="n">
        <x:v>46297</x:v>
      </x:c>
      <x:c r="C82" s="86" t="n">
        <x:v>46303</x:v>
      </x:c>
      <x:c r="D82" s="87" t="n">
        <x:v>6</x:v>
      </x:c>
      <x:c r="E82" s="88" t="str">
        <x:v>南航</x:v>
      </x:c>
      <x:c r="F82" s="88" t="str">
        <x:v>11:15</x:v>
      </x:c>
      <x:c r="G82" s="88" t="str">
        <x:v>16:35</x:v>
      </x:c>
      <x:c r="H82" s="88" t="str">
        <x:v>重庆江北国际机场</x:v>
      </x:c>
      <x:c r="I82" s="88" t="str">
        <x:v>昆明长水国际机场</x:v>
      </x:c>
      <x:c r="J82" s="88" t="n">
        <x:v>1</x:v>
      </x:c>
      <x:c r="K82" s="88" t="str">
        <x:v>武汉市的武汉天河国际机场 / 1 小时 30 分钟</x:v>
      </x:c>
      <x:c r="L82" s="88" t="str">
        <x:v>5 小时 20 分钟</x:v>
      </x:c>
      <x:c r="M82" s="89" t="n">
        <x:v>4590</x:v>
      </x:c>
      <x:c r="N82" s="89" t="n">
        <x:v>0</x:v>
      </x:c>
      <x:c r="O82" s="89" t="n">
        <x:f>M82+N82</x:f>
        <x:v>4590</x:v>
      </x:c>
      <x:c r="P82" s="88" t="str">
        <x:f>IF(O82&lt;5000,"是","否")</x:f>
        <x:v>是</x:v>
      </x:c>
      <x:c r="Q82" s="90" t="str">
        <x:v>国内经济舱通常含20kg；出票前须按实际票价等级复核</x:v>
      </x:c>
      <x:c r="R82" s="90" t="str">
        <x:v>该去程对应的最低可订返程组合；具体返程航班需打开来源链接确认</x:v>
      </x:c>
      <x:c r="S82" s="91" t="n">
        <x:v>46267.746032905095</x:v>
      </x:c>
      <x:c r="T82" s="92" t="str">
        <x:v>https://www.google.com/travel/flights?hl=zh-CN&amp;curr=CNY&amp;q=Flights%20from%20Chongqing%20to%20Kunming%20from%202026-10-02%20to%202026-10-08</x:v>
      </x:c>
      <x:c r="U82" s="136" t="n">
        <x:v>46303</x:v>
      </x:c>
      <x:c r="V82" s="90" t="str">
        <x:v>22:05</x:v>
      </x:c>
      <x:c r="W82" s="90" t="str">
        <x:v>昆明长水国际机场</x:v>
      </x:c>
      <x:c r="X82" s="137" t="n">
        <x:v>46303</x:v>
      </x:c>
      <x:c r="Y82" s="90" t="str">
        <x:v>23:50</x:v>
      </x:c>
      <x:c r="Z82" s="90" t="str">
        <x:v>重庆江北国际机场</x:v>
      </x:c>
      <x:c r="AA82" s="90" t="str">
        <x:v>南航</x:v>
      </x:c>
      <x:c r="AB82" s="90" t="n">
        <x:v>0</x:v>
      </x:c>
      <x:c r="AC82" s="90" t="str">
        <x:v>1 小时 45 分钟</x:v>
      </x:c>
      <x:c r="AD82" s="138" t="n">
        <x:v>4770</x:v>
      </x:c>
      <x:c r="AE82" s="90" t="str">
        <x:v>当前价格已变化，采用当前最低价返程</x:v>
      </x:c>
      <x:c r="AF82" s="92" t="str">
        <x:v>https://www.google.com/travel/flights/search?tfs=CBwQAhpuEgoyMDI2LTEwLTAyIiAKA0NLRxIKMjAyNi0xMC0wMhoDV1VIKgJDWjIEMzYyOCIgCgNXVUgSCjIwMjYtMTAtMDIaA0tNRyoCQ1oyBDM0NjlqDQgCEgkvbS8wMTcyMzZyDQgCEgkvbS8wMWMwNmQaKhIKMjAyNi0xMC0wOGoNCAISCS9tLzAxYzA2ZHINCAISCS9tLzAxNzIzNkABSAFwAYIBCwj___________8BmAEB&amp;tfu=CnRDalJJVEVWeVNtOXViVTh0ZVZGQlJYWk5XRUZDUnkwdExTMHRMUzB0TFMxelpXTmpPVUZCUVVGQlIzRlpSVXRqU1Mxd2NHbEJFZzFEV2pNMk1qaDhRMW96TkRZNUdnb0lvaVVRQUJvRFEwNVpPQnh3dmFvRRICCAAiAA&amp;hl=zh-CN&amp;curr=CNY</x:v>
      </x:c>
    </x:row>
    <x:row r="83" ht="42" customHeight="1">
      <x:c r="A83" s="85" t="n">
        <x:f>ROW()-7</x:f>
        <x:v>76</x:v>
      </x:c>
      <x:c r="B83" s="86" t="n">
        <x:v>46296</x:v>
      </x:c>
      <x:c r="C83" s="86" t="n">
        <x:v>46300</x:v>
      </x:c>
      <x:c r="D83" s="87" t="n">
        <x:v>4</x:v>
      </x:c>
      <x:c r="E83" s="88" t="str">
        <x:v>南航</x:v>
      </x:c>
      <x:c r="F83" s="88" t="str">
        <x:v>11:15</x:v>
      </x:c>
      <x:c r="G83" s="88" t="str">
        <x:v>16:35</x:v>
      </x:c>
      <x:c r="H83" s="88" t="str">
        <x:v>重庆江北国际机场</x:v>
      </x:c>
      <x:c r="I83" s="88" t="str">
        <x:v>昆明长水国际机场</x:v>
      </x:c>
      <x:c r="J83" s="88" t="n">
        <x:v>1</x:v>
      </x:c>
      <x:c r="K83" s="88" t="str">
        <x:v>武汉市的武汉天河国际机场 / 1 小时 30 分钟</x:v>
      </x:c>
      <x:c r="L83" s="88" t="str">
        <x:v>5 小时 20 分钟</x:v>
      </x:c>
      <x:c r="M83" s="89" t="n">
        <x:v>4770</x:v>
      </x:c>
      <x:c r="N83" s="89" t="n">
        <x:v>0</x:v>
      </x:c>
      <x:c r="O83" s="89" t="n">
        <x:f>M83+N83</x:f>
        <x:v>4770</x:v>
      </x:c>
      <x:c r="P83" s="88" t="str">
        <x:f>IF(O83&lt;5000,"是","否")</x:f>
        <x:v>是</x:v>
      </x:c>
      <x:c r="Q83" s="90" t="str">
        <x:v>国内经济舱通常含20kg；出票前须按实际票价等级复核</x:v>
      </x:c>
      <x:c r="R83" s="90" t="str">
        <x:v>该去程对应的最低可订返程组合；具体返程航班需打开来源链接确认</x:v>
      </x:c>
      <x:c r="S83" s="91" t="n">
        <x:v>46267.746032905095</x:v>
      </x:c>
      <x:c r="T83" s="92" t="str">
        <x:v>https://www.google.com/travel/flights?hl=zh-CN&amp;curr=CNY&amp;q=Flights%20from%20Chongqing%20to%20Kunming%20from%202026-10-01%20to%202026-10-05</x:v>
      </x:c>
      <x:c r="U83" s="136" t="n">
        <x:v>46300</x:v>
      </x:c>
      <x:c r="V83" s="90" t="str">
        <x:v>22:05</x:v>
      </x:c>
      <x:c r="W83" s="90" t="str">
        <x:v>昆明长水国际机场</x:v>
      </x:c>
      <x:c r="X83" s="137" t="n">
        <x:v>46300</x:v>
      </x:c>
      <x:c r="Y83" s="90" t="str">
        <x:v>23:50</x:v>
      </x:c>
      <x:c r="Z83" s="90" t="str">
        <x:v>重庆江北国际机场</x:v>
      </x:c>
      <x:c r="AA83" s="90" t="str">
        <x:v>南航</x:v>
      </x:c>
      <x:c r="AB83" s="90" t="n">
        <x:v>0</x:v>
      </x:c>
      <x:c r="AC83" s="90" t="str">
        <x:v>1 小时 45 分钟</x:v>
      </x:c>
      <x:c r="AD83" s="138" t="n">
        <x:v>4770</x:v>
      </x:c>
      <x:c r="AE83" s="90" t="str">
        <x:v>匹配原始往返起价</x:v>
      </x:c>
      <x:c r="AF83" s="92" t="str">
        <x:v>https://www.google.com/travel/flights/search?tfs=CBwQAhpuEgoyMDI2LTEwLTAxIiAKA0NLRxIKMjAyNi0xMC0wMRoDV1VIKgJDWjIEMzYyOCIgCgNXVUgSCjIwMjYtMTAtMDEaA0tNRyoCQ1oyBDM0NjlqDQgCEgkvbS8wMTcyMzZyDQgCEgkvbS8wMWMwNmQaKhIKMjAyNi0xMC0wNWoNCAISCS9tLzAxYzA2ZHINCAISCS9tLzAxNzIzNkABSAFwAYIBCwj___________8BmAEB&amp;tfu=CnRDalJJUjJOcVVEZzBWMGRIYlVWQlJYQktWMEZDUnkwdExTMHRMUzB0YzJWaVluVXpOVUZCUVVGQlIzRlpSRkpGU1Zkd1UxRkJFZzFEV2pNMk1qaDhRMW96TkRZNUdnb0lvaVVRQUJvRFEwNVpPQnh3dmFvRRIGCAAgAigBIgA&amp;hl=zh-CN&amp;curr=CNY</x:v>
      </x:c>
    </x:row>
    <x:row r="84" ht="42" customHeight="1">
      <x:c r="A84" s="85" t="n">
        <x:f>ROW()-7</x:f>
        <x:v>77</x:v>
      </x:c>
      <x:c r="B84" s="86" t="n">
        <x:v>46296</x:v>
      </x:c>
      <x:c r="C84" s="86" t="n">
        <x:v>46301</x:v>
      </x:c>
      <x:c r="D84" s="87" t="n">
        <x:v>5</x:v>
      </x:c>
      <x:c r="E84" s="88" t="str">
        <x:v>南航</x:v>
      </x:c>
      <x:c r="F84" s="88" t="str">
        <x:v>11:15</x:v>
      </x:c>
      <x:c r="G84" s="88" t="str">
        <x:v>16:35</x:v>
      </x:c>
      <x:c r="H84" s="88" t="str">
        <x:v>重庆江北国际机场</x:v>
      </x:c>
      <x:c r="I84" s="88" t="str">
        <x:v>昆明长水国际机场</x:v>
      </x:c>
      <x:c r="J84" s="88" t="n">
        <x:v>1</x:v>
      </x:c>
      <x:c r="K84" s="88" t="str">
        <x:v>武汉市的武汉天河国际机场 / 1 小时 30 分钟</x:v>
      </x:c>
      <x:c r="L84" s="88" t="str">
        <x:v>5 小时 20 分钟</x:v>
      </x:c>
      <x:c r="M84" s="89" t="n">
        <x:v>4770</x:v>
      </x:c>
      <x:c r="N84" s="89" t="n">
        <x:v>0</x:v>
      </x:c>
      <x:c r="O84" s="89" t="n">
        <x:f>M84+N84</x:f>
        <x:v>4770</x:v>
      </x:c>
      <x:c r="P84" s="88" t="str">
        <x:f>IF(O84&lt;5000,"是","否")</x:f>
        <x:v>是</x:v>
      </x:c>
      <x:c r="Q84" s="90" t="str">
        <x:v>国内经济舱通常含20kg；出票前须按实际票价等级复核</x:v>
      </x:c>
      <x:c r="R84" s="90" t="str">
        <x:v>该去程对应的最低可订返程组合；具体返程航班需打开来源链接确认</x:v>
      </x:c>
      <x:c r="S84" s="91" t="n">
        <x:v>46267.746032905095</x:v>
      </x:c>
      <x:c r="T84" s="92" t="str">
        <x:v>https://www.google.com/travel/flights?hl=zh-CN&amp;curr=CNY&amp;q=Flights%20from%20Chongqing%20to%20Kunming%20from%202026-10-01%20to%202026-10-06</x:v>
      </x:c>
      <x:c r="U84" s="136" t="n">
        <x:v>46301</x:v>
      </x:c>
      <x:c r="V84" s="90" t="str">
        <x:v>22:05</x:v>
      </x:c>
      <x:c r="W84" s="90" t="str">
        <x:v>昆明长水国际机场</x:v>
      </x:c>
      <x:c r="X84" s="137" t="n">
        <x:v>46301</x:v>
      </x:c>
      <x:c r="Y84" s="90" t="str">
        <x:v>23:50</x:v>
      </x:c>
      <x:c r="Z84" s="90" t="str">
        <x:v>重庆江北国际机场</x:v>
      </x:c>
      <x:c r="AA84" s="90" t="str">
        <x:v>南航</x:v>
      </x:c>
      <x:c r="AB84" s="90" t="n">
        <x:v>0</x:v>
      </x:c>
      <x:c r="AC84" s="90" t="str">
        <x:v>1 小时 45 分钟</x:v>
      </x:c>
      <x:c r="AD84" s="138" t="n">
        <x:v>4770</x:v>
      </x:c>
      <x:c r="AE84" s="90" t="str">
        <x:v>匹配原始往返起价</x:v>
      </x:c>
      <x:c r="AF84" s="92" t="str">
        <x:v>https://www.google.com/travel/flights/search?tfs=CBwQAhpuEgoyMDI2LTEwLTAxIiAKA0NLRxIKMjAyNi0xMC0wMRoDV1VIKgJDWjIEMzYyOCIgCgNXVUgSCjIwMjYtMTAtMDEaA0tNRyoCQ1oyBDM0NjlqDQgCEgkvbS8wMTcyMzZyDQgCEgkvbS8wMWMwNmQaKhIKMjAyNi0xMC0wNmoNCAISCS9tLzAxYzA2ZHINCAISCS9tLzAxNzIzNkABSAFwAYIBCwj___________8BmAEB&amp;tfu=CnRDalJJWkZWWlJYTm9WSE5zUkc5QlJVZHFiMUZDUnkwdExTMHRMWE50WW1aM09TMXVNVUZCUVVGQlIzRlpSRkk0U0hBMVZsTkJFZzFEV2pNMk1qaDhRMW96TkRZNUdnb0lvaVVRQUJvRFEwNVpPQnh3dmFvRRIGCAAgAigBIgA&amp;hl=zh-CN&amp;curr=CNY</x:v>
      </x:c>
    </x:row>
    <x:row r="85" ht="42" customHeight="1">
      <x:c r="A85" s="85" t="n">
        <x:f>ROW()-7</x:f>
        <x:v>78</x:v>
      </x:c>
      <x:c r="B85" s="86" t="n">
        <x:v>46296</x:v>
      </x:c>
      <x:c r="C85" s="86" t="n">
        <x:v>46303</x:v>
      </x:c>
      <x:c r="D85" s="87" t="n">
        <x:v>7</x:v>
      </x:c>
      <x:c r="E85" s="88" t="str">
        <x:v>南航</x:v>
      </x:c>
      <x:c r="F85" s="88" t="str">
        <x:v>11:15</x:v>
      </x:c>
      <x:c r="G85" s="88" t="str">
        <x:v>16:35</x:v>
      </x:c>
      <x:c r="H85" s="88" t="str">
        <x:v>重庆江北国际机场</x:v>
      </x:c>
      <x:c r="I85" s="88" t="str">
        <x:v>昆明长水国际机场</x:v>
      </x:c>
      <x:c r="J85" s="88" t="n">
        <x:v>1</x:v>
      </x:c>
      <x:c r="K85" s="88" t="str">
        <x:v>武汉市的武汉天河国际机场 / 1 小时 30 分钟</x:v>
      </x:c>
      <x:c r="L85" s="88" t="str">
        <x:v>5 小时 20 分钟</x:v>
      </x:c>
      <x:c r="M85" s="89" t="n">
        <x:v>4770</x:v>
      </x:c>
      <x:c r="N85" s="89" t="n">
        <x:v>0</x:v>
      </x:c>
      <x:c r="O85" s="89" t="n">
        <x:f>M85+N85</x:f>
        <x:v>4770</x:v>
      </x:c>
      <x:c r="P85" s="88" t="str">
        <x:f>IF(O85&lt;5000,"是","否")</x:f>
        <x:v>是</x:v>
      </x:c>
      <x:c r="Q85" s="90" t="str">
        <x:v>国内经济舱通常含20kg；出票前须按实际票价等级复核</x:v>
      </x:c>
      <x:c r="R85" s="90" t="str">
        <x:v>该去程对应的最低可订返程组合；具体返程航班需打开来源链接确认</x:v>
      </x:c>
      <x:c r="S85" s="91" t="n">
        <x:v>46267.746032905095</x:v>
      </x:c>
      <x:c r="T85" s="92" t="str">
        <x:v>https://www.google.com/travel/flights?hl=zh-CN&amp;curr=CNY&amp;q=Flights%20from%20Chongqing%20to%20Kunming%20from%202026-10-01%20to%202026-10-08</x:v>
      </x:c>
      <x:c r="U85" s="136" t="n">
        <x:v>46303</x:v>
      </x:c>
      <x:c r="V85" s="90" t="str">
        <x:v>22:05</x:v>
      </x:c>
      <x:c r="W85" s="90" t="str">
        <x:v>昆明长水国际机场</x:v>
      </x:c>
      <x:c r="X85" s="137" t="n">
        <x:v>46303</x:v>
      </x:c>
      <x:c r="Y85" s="90" t="str">
        <x:v>23:50</x:v>
      </x:c>
      <x:c r="Z85" s="90" t="str">
        <x:v>重庆江北国际机场</x:v>
      </x:c>
      <x:c r="AA85" s="90" t="str">
        <x:v>南航</x:v>
      </x:c>
      <x:c r="AB85" s="90" t="n">
        <x:v>0</x:v>
      </x:c>
      <x:c r="AC85" s="90" t="str">
        <x:v>1 小时 45 分钟</x:v>
      </x:c>
      <x:c r="AD85" s="138" t="n">
        <x:v>4770</x:v>
      </x:c>
      <x:c r="AE85" s="90" t="str">
        <x:v>匹配原始往返起价</x:v>
      </x:c>
      <x:c r="AF85" s="92" t="str">
        <x:v>https://www.google.com/travel/flights/search?tfs=CBwQAhpuEgoyMDI2LTEwLTAxIiAKA0NLRxIKMjAyNi0xMC0wMRoDV1VIKgJDWjIEMzYyOCIgCgNXVUgSCjIwMjYtMTAtMDEaA0tNRyoCQ1oyBDM0NjlqDQgCEgkvbS8wMTcyMzZyDQgCEgkvbS8wMWMwNmQaKhIKMjAyNi0xMC0wOGoNCAISCS9tLzAxYzA2ZHINCAISCS9tLzAxNzIzNkABSAFwAYIBCwj___________8BmAEB&amp;tfu=CnRDalJJYzJVMFgxRk5PR1JrWVZsQlJESmZjRUZDUnkwdExTMHRMUzB0TFMxemJYUjVOa0ZCUVVGQlIzRlpSRkl3Um1oSWFrZEJFZzFEV2pNMk1qaDhRMW96TkRZNUdnb0lvaVVRQUJvRFEwNVpPQnh3dmFvRRICCAAiAA&amp;hl=zh-CN&amp;curr=CNY</x:v>
      </x:c>
    </x:row>
    <x:row r="86" ht="42" customHeight="1">
      <x:c r="A86" s="85" t="n">
        <x:f>ROW()-7</x:f>
        <x:v>79</x:v>
      </x:c>
      <x:c r="B86" s="86" t="n">
        <x:v>46297</x:v>
      </x:c>
      <x:c r="C86" s="86" t="n">
        <x:v>46304</x:v>
      </x:c>
      <x:c r="D86" s="87" t="n">
        <x:v>7</x:v>
      </x:c>
      <x:c r="E86" s="88" t="str">
        <x:v>南航</x:v>
      </x:c>
      <x:c r="F86" s="88" t="str">
        <x:v>11:15</x:v>
      </x:c>
      <x:c r="G86" s="88" t="str">
        <x:v>16:35</x:v>
      </x:c>
      <x:c r="H86" s="88" t="str">
        <x:v>重庆江北国际机场</x:v>
      </x:c>
      <x:c r="I86" s="88" t="str">
        <x:v>昆明长水国际机场</x:v>
      </x:c>
      <x:c r="J86" s="88" t="n">
        <x:v>1</x:v>
      </x:c>
      <x:c r="K86" s="88" t="str">
        <x:v>武汉市的武汉天河国际机场 / 1 小时 30 分钟</x:v>
      </x:c>
      <x:c r="L86" s="88" t="str">
        <x:v>5 小时 20 分钟</x:v>
      </x:c>
      <x:c r="M86" s="89" t="n">
        <x:v>4770</x:v>
      </x:c>
      <x:c r="N86" s="89" t="n">
        <x:v>0</x:v>
      </x:c>
      <x:c r="O86" s="89" t="n">
        <x:f>M86+N86</x:f>
        <x:v>4770</x:v>
      </x:c>
      <x:c r="P86" s="88" t="str">
        <x:f>IF(O86&lt;5000,"是","否")</x:f>
        <x:v>是</x:v>
      </x:c>
      <x:c r="Q86" s="90" t="str">
        <x:v>国内经济舱通常含20kg；出票前须按实际票价等级复核</x:v>
      </x:c>
      <x:c r="R86" s="90" t="str">
        <x:v>该去程对应的最低可订返程组合；具体返程航班需打开来源链接确认</x:v>
      </x:c>
      <x:c r="S86" s="91" t="n">
        <x:v>46267.746032905095</x:v>
      </x:c>
      <x:c r="T86" s="92" t="str">
        <x:v>https://www.google.com/travel/flights?hl=zh-CN&amp;curr=CNY&amp;q=Flights%20from%20Chongqing%20to%20Kunming%20from%202026-10-02%20to%202026-10-09</x:v>
      </x:c>
      <x:c r="U86" s="136" t="n">
        <x:v>46304</x:v>
      </x:c>
      <x:c r="V86" s="90" t="str">
        <x:v>22:05</x:v>
      </x:c>
      <x:c r="W86" s="90" t="str">
        <x:v>昆明长水国际机场</x:v>
      </x:c>
      <x:c r="X86" s="137" t="n">
        <x:v>46304</x:v>
      </x:c>
      <x:c r="Y86" s="90" t="str">
        <x:v>23:50</x:v>
      </x:c>
      <x:c r="Z86" s="90" t="str">
        <x:v>重庆江北国际机场</x:v>
      </x:c>
      <x:c r="AA86" s="90" t="str">
        <x:v>南航</x:v>
      </x:c>
      <x:c r="AB86" s="90" t="n">
        <x:v>0</x:v>
      </x:c>
      <x:c r="AC86" s="90" t="str">
        <x:v>1 小时 45 分钟</x:v>
      </x:c>
      <x:c r="AD86" s="138" t="n">
        <x:v>4770</x:v>
      </x:c>
      <x:c r="AE86" s="90" t="str">
        <x:v>匹配原始往返起价</x:v>
      </x:c>
      <x:c r="AF86" s="92" t="str">
        <x:v>https://www.google.com/travel/flights/search?tfs=CBwQAhpuEgoyMDI2LTEwLTAyIiAKA0NLRxIKMjAyNi0xMC0wMhoDV1VIKgJDWjIEMzYyOCIgCgNXVUgSCjIwMjYtMTAtMDIaA0tNRyoCQ1oyBDM0NjlqDQgCEgkvbS8wMTcyMzZyDQgCEgkvbS8wMWMwNmQaKhIKMjAyNi0xMC0wOWoNCAISCS9tLzAxYzA2ZHINCAISCS9tLzAxNzIzNkABSAFwAYIBCwj___________8BmAEB&amp;tfu=CnRDalJJYnpSMU9IcEhkWFk1WVc5QlJubG9TSGRDUnkwdExTMHRMUzB0TFhObFlteG9OMEZCUVVGQlIzRlpSRkk0UjIxYVNrZEJFZzFEV2pNMk1qaDhRMW96TkRZNUdnb0lvaVVRQUJvRFEwNVpPQnh3dmFvRRIGCAAgAigBIgA&amp;hl=zh-CN&amp;curr=CNY</x:v>
      </x:c>
    </x:row>
    <x:row r="87" ht="42" customHeight="1">
      <x:c r="A87" s="85" t="n">
        <x:f>ROW()-7</x:f>
        <x:v>80</x:v>
      </x:c>
      <x:c r="B87" s="86" t="n">
        <x:v>46297</x:v>
      </x:c>
      <x:c r="C87" s="86" t="n">
        <x:v>46301</x:v>
      </x:c>
      <x:c r="D87" s="87" t="n">
        <x:v>4</x:v>
      </x:c>
      <x:c r="E87" s="88" t="str">
        <x:v>南航</x:v>
      </x:c>
      <x:c r="F87" s="88" t="str">
        <x:v>23:55</x:v>
      </x:c>
      <x:c r="G87" s="88" t="str">
        <x:v>09:40 +1</x:v>
      </x:c>
      <x:c r="H87" s="88" t="str">
        <x:v>重庆江北国际机场</x:v>
      </x:c>
      <x:c r="I87" s="88" t="str">
        <x:v>昆明长水国际机场</x:v>
      </x:c>
      <x:c r="J87" s="88" t="n">
        <x:v>1</x:v>
      </x:c>
      <x:c r="K87" s="88" t="str">
        <x:v>武汉市的武汉天河国际机场 / 6 小时 15 分钟</x:v>
      </x:c>
      <x:c r="L87" s="88" t="str">
        <x:v>9 小时 45 分钟</x:v>
      </x:c>
      <x:c r="M87" s="89" t="n">
        <x:v>4770</x:v>
      </x:c>
      <x:c r="N87" s="89" t="n">
        <x:v>0</x:v>
      </x:c>
      <x:c r="O87" s="89" t="n">
        <x:f>M87+N87</x:f>
        <x:v>4770</x:v>
      </x:c>
      <x:c r="P87" s="88" t="str">
        <x:f>IF(O87&lt;5000,"是","否")</x:f>
        <x:v>是</x:v>
      </x:c>
      <x:c r="Q87" s="90" t="str">
        <x:v>国内经济舱通常含20kg；出票前须按实际票价等级复核</x:v>
      </x:c>
      <x:c r="R87" s="90" t="str">
        <x:v>该去程对应的最低可订返程组合；具体返程航班需打开来源链接确认</x:v>
      </x:c>
      <x:c r="S87" s="91" t="n">
        <x:v>46267.746032905095</x:v>
      </x:c>
      <x:c r="T87" s="92" t="str">
        <x:v>https://www.google.com/travel/flights?hl=zh-CN&amp;curr=CNY&amp;q=Flights%20from%20Chongqing%20to%20Kunming%20from%202026-10-02%20to%202026-10-06</x:v>
      </x:c>
      <x:c r="U87" s="136" t="n">
        <x:v>46301</x:v>
      </x:c>
      <x:c r="V87" s="90" t="str">
        <x:v>22:05</x:v>
      </x:c>
      <x:c r="W87" s="90" t="str">
        <x:v>昆明长水国际机场</x:v>
      </x:c>
      <x:c r="X87" s="137" t="n">
        <x:v>46301</x:v>
      </x:c>
      <x:c r="Y87" s="90" t="str">
        <x:v>23:50</x:v>
      </x:c>
      <x:c r="Z87" s="90" t="str">
        <x:v>重庆江北国际机场</x:v>
      </x:c>
      <x:c r="AA87" s="90" t="str">
        <x:v>南航</x:v>
      </x:c>
      <x:c r="AB87" s="90" t="n">
        <x:v>0</x:v>
      </x:c>
      <x:c r="AC87" s="90" t="str">
        <x:v>1 小时 45 分钟</x:v>
      </x:c>
      <x:c r="AD87" s="138" t="n">
        <x:v>4770</x:v>
      </x:c>
      <x:c r="AE87" s="90" t="str">
        <x:v>匹配原始往返起价</x:v>
      </x:c>
      <x:c r="AF87" s="92" t="str">
        <x:v>https://www.google.com/travel/flights/search?tfs=CBwQAhpuEgoyMDI2LTEwLTAyIiAKA0NLRxIKMjAyNi0xMC0wMhoDV1VIKgJDWjIEMzY0NCIgCgNXVUgSCjIwMjYtMTAtMDMaA0tNRyoCQ1oyBDg0NDVqDQgCEgkvbS8wMTcyMzZyDQgCEgkvbS8wMWMwNmQaKhIKMjAyNi0xMC0wNmoNCAISCS9tLzAxYzA2ZHINCAISCS9tLzAxNzIzNkABSAFwAYIBCwj___________8BmAEB&amp;tfu=CnRDalJJTlU4M1RFRndjM05IY25OQlJsbFJaRkZDUnkwdExTMHRMUzB0TFhOdFltUm5ORUZCUVVGQlIzRlpSRkl3U0VnMGQyZEJFZzFEV2pNMk5EUjhRMW80TkRRMUdnb0lvaVVRQUJvRFEwNVpPQnh3dmFvRRICCAAiAA&amp;hl=zh-CN&amp;curr=CNY</x:v>
      </x:c>
    </x:row>
    <x:row r="88" ht="42" customHeight="1">
      <x:c r="A88" s="85" t="n">
        <x:f>ROW()-7</x:f>
        <x:v>81</x:v>
      </x:c>
      <x:c r="B88" s="86" t="n">
        <x:v>46297</x:v>
      </x:c>
      <x:c r="C88" s="86" t="n">
        <x:v>46302</x:v>
      </x:c>
      <x:c r="D88" s="87" t="n">
        <x:v>5</x:v>
      </x:c>
      <x:c r="E88" s="88" t="str">
        <x:v>南航</x:v>
      </x:c>
      <x:c r="F88" s="88" t="str">
        <x:v>23:55</x:v>
      </x:c>
      <x:c r="G88" s="88" t="str">
        <x:v>09:40 +1</x:v>
      </x:c>
      <x:c r="H88" s="88" t="str">
        <x:v>重庆江北国际机场</x:v>
      </x:c>
      <x:c r="I88" s="88" t="str">
        <x:v>昆明长水国际机场</x:v>
      </x:c>
      <x:c r="J88" s="88" t="n">
        <x:v>1</x:v>
      </x:c>
      <x:c r="K88" s="88" t="str">
        <x:v>武汉市的武汉天河国际机场 / 6 小时 15 分钟</x:v>
      </x:c>
      <x:c r="L88" s="88" t="str">
        <x:v>9 小时 45 分钟</x:v>
      </x:c>
      <x:c r="M88" s="89" t="n">
        <x:v>4770</x:v>
      </x:c>
      <x:c r="N88" s="89" t="n">
        <x:v>0</x:v>
      </x:c>
      <x:c r="O88" s="89" t="n">
        <x:f>M88+N88</x:f>
        <x:v>4770</x:v>
      </x:c>
      <x:c r="P88" s="88" t="str">
        <x:f>IF(O88&lt;5000,"是","否")</x:f>
        <x:v>是</x:v>
      </x:c>
      <x:c r="Q88" s="90" t="str">
        <x:v>国内经济舱通常含20kg；出票前须按实际票价等级复核</x:v>
      </x:c>
      <x:c r="R88" s="90" t="str">
        <x:v>该去程对应的最低可订返程组合；具体返程航班需打开来源链接确认</x:v>
      </x:c>
      <x:c r="S88" s="91" t="n">
        <x:v>46267.746032905095</x:v>
      </x:c>
      <x:c r="T88" s="92" t="str">
        <x:v>https://www.google.com/travel/flights?hl=zh-CN&amp;curr=CNY&amp;q=Flights%20from%20Chongqing%20to%20Kunming%20from%202026-10-02%20to%202026-10-07</x:v>
      </x:c>
      <x:c r="U88" s="136" t="n">
        <x:v>46302</x:v>
      </x:c>
      <x:c r="V88" s="90" t="str">
        <x:v>22:05</x:v>
      </x:c>
      <x:c r="W88" s="90" t="str">
        <x:v>昆明长水国际机场</x:v>
      </x:c>
      <x:c r="X88" s="137" t="n">
        <x:v>46302</x:v>
      </x:c>
      <x:c r="Y88" s="90" t="str">
        <x:v>23:50</x:v>
      </x:c>
      <x:c r="Z88" s="90" t="str">
        <x:v>重庆江北国际机场</x:v>
      </x:c>
      <x:c r="AA88" s="90" t="str">
        <x:v>南航</x:v>
      </x:c>
      <x:c r="AB88" s="90" t="n">
        <x:v>0</x:v>
      </x:c>
      <x:c r="AC88" s="90" t="str">
        <x:v>1 小时 45 分钟</x:v>
      </x:c>
      <x:c r="AD88" s="138" t="n">
        <x:v>4770</x:v>
      </x:c>
      <x:c r="AE88" s="90" t="str">
        <x:v>匹配原始往返起价</x:v>
      </x:c>
      <x:c r="AF88" s="92" t="str">
        <x:v>https://www.google.com/travel/flights/search?tfs=CBwQAhpuEgoyMDI2LTEwLTAyIiAKA0NLRxIKMjAyNi0xMC0wMhoDV1VIKgJDWjIEMzY0NCIgCgNXVUgSCjIwMjYtMTAtMDMaA0tNRyoCQ1oyBDg0NDVqDQgCEgkvbS8wMTcyMzZyDQgCEgkvbS8wMWMwNmQaKhIKMjAyNi0xMC0wN2oNCAISCS9tLzAxYzA2ZHINCAISCS9tLzAxNzIzNkABSAFwAYIBCwj___________8BmAEB&amp;tfu=CnRDalJJZEU5VWJEQndRbVpTWVhkQlIyUnJYMEZDUnkwdExTMHRMUzB0YzJWaVozSXpNMEZCUVVGQlIzRlpSRk56U1hsS1RFVkJFZzFEV2pNMk5EUjhRMW80TkRRMUdnb0lvaVVRQUJvRFEwNVpPQnh3dmFvRRICCAAiAA&amp;hl=zh-CN&amp;curr=CNY</x:v>
      </x:c>
    </x:row>
    <x:row r="89" ht="42" customHeight="1">
      <x:c r="A89" s="85" t="n">
        <x:f>ROW()-7</x:f>
        <x:v>82</x:v>
      </x:c>
      <x:c r="B89" s="86" t="n">
        <x:v>46297</x:v>
      </x:c>
      <x:c r="C89" s="86" t="n">
        <x:v>46303</x:v>
      </x:c>
      <x:c r="D89" s="87" t="n">
        <x:v>6</x:v>
      </x:c>
      <x:c r="E89" s="88" t="str">
        <x:v>南航</x:v>
      </x:c>
      <x:c r="F89" s="88" t="str">
        <x:v>23:55</x:v>
      </x:c>
      <x:c r="G89" s="88" t="str">
        <x:v>09:40 +1</x:v>
      </x:c>
      <x:c r="H89" s="88" t="str">
        <x:v>重庆江北国际机场</x:v>
      </x:c>
      <x:c r="I89" s="88" t="str">
        <x:v>昆明长水国际机场</x:v>
      </x:c>
      <x:c r="J89" s="88" t="n">
        <x:v>1</x:v>
      </x:c>
      <x:c r="K89" s="88" t="str">
        <x:v>武汉市的武汉天河国际机场 / 6 小时 15 分钟</x:v>
      </x:c>
      <x:c r="L89" s="88" t="str">
        <x:v>9 小时 45 分钟</x:v>
      </x:c>
      <x:c r="M89" s="89" t="n">
        <x:v>4770</x:v>
      </x:c>
      <x:c r="N89" s="89" t="n">
        <x:v>0</x:v>
      </x:c>
      <x:c r="O89" s="89" t="n">
        <x:f>M89+N89</x:f>
        <x:v>4770</x:v>
      </x:c>
      <x:c r="P89" s="88" t="str">
        <x:f>IF(O89&lt;5000,"是","否")</x:f>
        <x:v>是</x:v>
      </x:c>
      <x:c r="Q89" s="90" t="str">
        <x:v>国内经济舱通常含20kg；出票前须按实际票价等级复核</x:v>
      </x:c>
      <x:c r="R89" s="90" t="str">
        <x:v>该去程对应的最低可订返程组合；具体返程航班需打开来源链接确认</x:v>
      </x:c>
      <x:c r="S89" s="91" t="n">
        <x:v>46267.746032905095</x:v>
      </x:c>
      <x:c r="T89" s="92" t="str">
        <x:v>https://www.google.com/travel/flights?hl=zh-CN&amp;curr=CNY&amp;q=Flights%20from%20Chongqing%20to%20Kunming%20from%202026-10-02%20to%202026-10-08</x:v>
      </x:c>
      <x:c r="U89" s="136" t="n">
        <x:v>46303</x:v>
      </x:c>
      <x:c r="V89" s="90" t="str">
        <x:v>22:05</x:v>
      </x:c>
      <x:c r="W89" s="90" t="str">
        <x:v>昆明长水国际机场</x:v>
      </x:c>
      <x:c r="X89" s="137" t="n">
        <x:v>46303</x:v>
      </x:c>
      <x:c r="Y89" s="90" t="str">
        <x:v>23:50</x:v>
      </x:c>
      <x:c r="Z89" s="90" t="str">
        <x:v>重庆江北国际机场</x:v>
      </x:c>
      <x:c r="AA89" s="90" t="str">
        <x:v>南航</x:v>
      </x:c>
      <x:c r="AB89" s="90" t="n">
        <x:v>0</x:v>
      </x:c>
      <x:c r="AC89" s="90" t="str">
        <x:v>1 小时 45 分钟</x:v>
      </x:c>
      <x:c r="AD89" s="138" t="n">
        <x:v>4770</x:v>
      </x:c>
      <x:c r="AE89" s="90" t="str">
        <x:v>匹配原始往返起价</x:v>
      </x:c>
      <x:c r="AF89" s="92" t="str">
        <x:v>https://www.google.com/travel/flights/search?tfs=CBwQAhpuEgoyMDI2LTEwLTAyIiAKA0NLRxIKMjAyNi0xMC0wMhoDV1VIKgJDWjIEMzY0NCIgCgNXVUgSCjIwMjYtMTAtMDMaA0tNRyoCQ1oyBDg0NDVqDQgCEgkvbS8wMTcyMzZyDQgCEgkvbS8wMWMwNmQaKhIKMjAyNi0xMC0wOGoNCAISCS9tLzAxYzA2ZHINCAISCS9tLzAxNzIzNkABSAFwAYIBCwj___________8BmAEB&amp;tfu=CnRDalJJYjBOd1MydElWbTlpTW1OQlJIY3pYMmRDUnkwdExTMHRMWE50WTNkck55MXVNa0ZCUVVGQlIzRlpSRk56UzBaM01qUkJFZzFEV2pNMk5EUjhRMW80TkRRMUdnb0lvaVVRQUJvRFEwNVpPQnh3dmFvRRICCAAiAA&amp;hl=zh-CN&amp;curr=CNY</x:v>
      </x:c>
    </x:row>
    <x:row r="90" ht="42" customHeight="1">
      <x:c r="A90" s="85" t="n">
        <x:f>ROW()-7</x:f>
        <x:v>83</x:v>
      </x:c>
      <x:c r="B90" s="86" t="n">
        <x:v>46297</x:v>
      </x:c>
      <x:c r="C90" s="86" t="n">
        <x:v>46304</x:v>
      </x:c>
      <x:c r="D90" s="87" t="n">
        <x:v>7</x:v>
      </x:c>
      <x:c r="E90" s="88" t="str">
        <x:v>南航</x:v>
      </x:c>
      <x:c r="F90" s="88" t="str">
        <x:v>23:55</x:v>
      </x:c>
      <x:c r="G90" s="88" t="str">
        <x:v>09:40 +1</x:v>
      </x:c>
      <x:c r="H90" s="88" t="str">
        <x:v>重庆江北国际机场</x:v>
      </x:c>
      <x:c r="I90" s="88" t="str">
        <x:v>昆明长水国际机场</x:v>
      </x:c>
      <x:c r="J90" s="88" t="n">
        <x:v>1</x:v>
      </x:c>
      <x:c r="K90" s="88" t="str">
        <x:v>武汉市的武汉天河国际机场 / 6 小时 15 分钟</x:v>
      </x:c>
      <x:c r="L90" s="88" t="str">
        <x:v>9 小时 45 分钟</x:v>
      </x:c>
      <x:c r="M90" s="89" t="n">
        <x:v>4770</x:v>
      </x:c>
      <x:c r="N90" s="89" t="n">
        <x:v>0</x:v>
      </x:c>
      <x:c r="O90" s="89" t="n">
        <x:f>M90+N90</x:f>
        <x:v>4770</x:v>
      </x:c>
      <x:c r="P90" s="88" t="str">
        <x:f>IF(O90&lt;5000,"是","否")</x:f>
        <x:v>是</x:v>
      </x:c>
      <x:c r="Q90" s="90" t="str">
        <x:v>国内经济舱通常含20kg；出票前须按实际票价等级复核</x:v>
      </x:c>
      <x:c r="R90" s="90" t="str">
        <x:v>该去程对应的最低可订返程组合；具体返程航班需打开来源链接确认</x:v>
      </x:c>
      <x:c r="S90" s="91" t="n">
        <x:v>46267.746032905095</x:v>
      </x:c>
      <x:c r="T90" s="92" t="str">
        <x:v>https://www.google.com/travel/flights?hl=zh-CN&amp;curr=CNY&amp;q=Flights%20from%20Chongqing%20to%20Kunming%20from%202026-10-02%20to%202026-10-09</x:v>
      </x:c>
      <x:c r="U90" s="136" t="n">
        <x:v>46304</x:v>
      </x:c>
      <x:c r="V90" s="90" t="str">
        <x:v>22:05</x:v>
      </x:c>
      <x:c r="W90" s="90" t="str">
        <x:v>昆明长水国际机场</x:v>
      </x:c>
      <x:c r="X90" s="137" t="n">
        <x:v>46304</x:v>
      </x:c>
      <x:c r="Y90" s="90" t="str">
        <x:v>23:50</x:v>
      </x:c>
      <x:c r="Z90" s="90" t="str">
        <x:v>重庆江北国际机场</x:v>
      </x:c>
      <x:c r="AA90" s="90" t="str">
        <x:v>南航</x:v>
      </x:c>
      <x:c r="AB90" s="90" t="n">
        <x:v>0</x:v>
      </x:c>
      <x:c r="AC90" s="90" t="str">
        <x:v>1 小时 45 分钟</x:v>
      </x:c>
      <x:c r="AD90" s="138" t="n">
        <x:v>4770</x:v>
      </x:c>
      <x:c r="AE90" s="90" t="str">
        <x:v>匹配原始往返起价</x:v>
      </x:c>
      <x:c r="AF90" s="92" t="str">
        <x:v>https://www.google.com/travel/flights/search?tfs=CBwQAhpuEgoyMDI2LTEwLTAyIiAKA0NLRxIKMjAyNi0xMC0wMhoDV1VIKgJDWjIEMzY0NCIgCgNXVUgSCjIwMjYtMTAtMDMaA0tNRyoCQ1oyBDg0NDVqDQgCEgkvbS8wMTcyMzZyDQgCEgkvbS8wMWMwNmQaKhIKMjAyNi0xMC0wOWoNCAISCS9tLzAxYzA2ZHINCAISCS9tLzAxNzIzNkABSAFwAYIBCwj___________8BmAEB&amp;tfu=CnRDalJJTFhrM016ZFNRVGg0ZUZGQlJYQjJSMmRDUnkwdExTMHRMUzF6WldKdU15MXVNa0ZCUVVGQlIzRlpSRk56UzJwb1dtZEJFZzFEV2pNMk5EUjhRMW80TkRRMUdnb0lvaVVRQUJvRFEwNVpPQnh3dmFvRRICCAAiAA&amp;hl=zh-CN&amp;curr=CNY</x:v>
      </x:c>
    </x:row>
    <x:row r="91" ht="42" customHeight="1">
      <x:c r="A91" s="85" t="n">
        <x:f>ROW()-7</x:f>
        <x:v>84</x:v>
      </x:c>
      <x:c r="B91" s="86" t="n">
        <x:v>46298</x:v>
      </x:c>
      <x:c r="C91" s="86" t="n">
        <x:v>46303</x:v>
      </x:c>
      <x:c r="D91" s="87" t="n">
        <x:v>5</x:v>
      </x:c>
      <x:c r="E91" s="88" t="str">
        <x:v>南航</x:v>
      </x:c>
      <x:c r="F91" s="88" t="str">
        <x:v>11:15</x:v>
      </x:c>
      <x:c r="G91" s="88" t="str">
        <x:v>16:35</x:v>
      </x:c>
      <x:c r="H91" s="88" t="str">
        <x:v>重庆江北国际机场</x:v>
      </x:c>
      <x:c r="I91" s="88" t="str">
        <x:v>昆明长水国际机场</x:v>
      </x:c>
      <x:c r="J91" s="88" t="n">
        <x:v>1</x:v>
      </x:c>
      <x:c r="K91" s="88" t="str">
        <x:v>武汉市的武汉天河国际机场 / 1 小时 30 分钟</x:v>
      </x:c>
      <x:c r="L91" s="88" t="str">
        <x:v>5 小时 20 分钟</x:v>
      </x:c>
      <x:c r="M91" s="89" t="n">
        <x:v>4770</x:v>
      </x:c>
      <x:c r="N91" s="89" t="n">
        <x:v>0</x:v>
      </x:c>
      <x:c r="O91" s="89" t="n">
        <x:f>M91+N91</x:f>
        <x:v>4770</x:v>
      </x:c>
      <x:c r="P91" s="88" t="str">
        <x:f>IF(O91&lt;5000,"是","否")</x:f>
        <x:v>是</x:v>
      </x:c>
      <x:c r="Q91" s="90" t="str">
        <x:v>国内经济舱通常含20kg；出票前须按实际票价等级复核</x:v>
      </x:c>
      <x:c r="R91" s="90" t="str">
        <x:v>该去程对应的最低可订返程组合；具体返程航班需打开来源链接确认</x:v>
      </x:c>
      <x:c r="S91" s="91" t="n">
        <x:v>46267.746032905095</x:v>
      </x:c>
      <x:c r="T91" s="92" t="str">
        <x:v>https://www.google.com/travel/flights?hl=zh-CN&amp;curr=CNY&amp;q=Flights%20from%20Chongqing%20to%20Kunming%20from%202026-10-03%20to%202026-10-08</x:v>
      </x:c>
      <x:c r="U91" s="136" t="n">
        <x:v>46303</x:v>
      </x:c>
      <x:c r="V91" s="90" t="str">
        <x:v>22:05</x:v>
      </x:c>
      <x:c r="W91" s="90" t="str">
        <x:v>昆明长水国际机场</x:v>
      </x:c>
      <x:c r="X91" s="137" t="n">
        <x:v>46303</x:v>
      </x:c>
      <x:c r="Y91" s="90" t="str">
        <x:v>23:50</x:v>
      </x:c>
      <x:c r="Z91" s="90" t="str">
        <x:v>重庆江北国际机场</x:v>
      </x:c>
      <x:c r="AA91" s="90" t="str">
        <x:v>南航</x:v>
      </x:c>
      <x:c r="AB91" s="90" t="n">
        <x:v>0</x:v>
      </x:c>
      <x:c r="AC91" s="90" t="str">
        <x:v>1 小时 45 分钟</x:v>
      </x:c>
      <x:c r="AD91" s="138" t="n">
        <x:v>4770</x:v>
      </x:c>
      <x:c r="AE91" s="90" t="str">
        <x:v>匹配原始往返起价</x:v>
      </x:c>
      <x:c r="AF91" s="92" t="str">
        <x:v>https://www.google.com/travel/flights/search?tfs=CBwQAhpuEgoyMDI2LTEwLTAzIiAKA0NLRxIKMjAyNi0xMC0wMxoDV1VIKgJDWjIEMzYyOCIgCgNXVUgSCjIwMjYtMTAtMDMaA0tNRyoCQ1oyBDM0NjlqDQgCEgkvbS8wMTcyMzZyDQgCEgkvbS8wMWMwNmQaKhIKMjAyNi0xMC0wOGoNCAISCS9tLzAxYzA2ZHINCAISCS9tLzAxNzIzNkABSAFwAYIBCwj___________8BmAEB&amp;tfu=CnRDalJJUlROeFMwUnNXWFJRZEUxQlJWZFpZMEZDUnkwdExTMHRMWE50Y0hReE5DMXVNVUZCUVVGQlIzRlpSRk13U0dWc1pFdEJFZzFEV2pNMk1qaDhRMW96TkRZNUdnb0lvaVVRQUJvRFEwNVpPQnh3dmFvRRIGCAAgAigBIgA&amp;hl=zh-CN&amp;curr=CNY</x:v>
      </x:c>
    </x:row>
    <x:row r="92" ht="42" customHeight="1">
      <x:c r="A92" s="85" t="n">
        <x:f>ROW()-7</x:f>
        <x:v>85</x:v>
      </x:c>
      <x:c r="B92" s="86" t="n">
        <x:v>46298</x:v>
      </x:c>
      <x:c r="C92" s="86" t="n">
        <x:v>46304</x:v>
      </x:c>
      <x:c r="D92" s="87" t="n">
        <x:v>6</x:v>
      </x:c>
      <x:c r="E92" s="88" t="str">
        <x:v>南航</x:v>
      </x:c>
      <x:c r="F92" s="88" t="str">
        <x:v>11:15</x:v>
      </x:c>
      <x:c r="G92" s="88" t="str">
        <x:v>16:35</x:v>
      </x:c>
      <x:c r="H92" s="88" t="str">
        <x:v>重庆江北国际机场</x:v>
      </x:c>
      <x:c r="I92" s="88" t="str">
        <x:v>昆明长水国际机场</x:v>
      </x:c>
      <x:c r="J92" s="88" t="n">
        <x:v>1</x:v>
      </x:c>
      <x:c r="K92" s="88" t="str">
        <x:v>武汉市的武汉天河国际机场 / 1 小时 30 分钟</x:v>
      </x:c>
      <x:c r="L92" s="88" t="str">
        <x:v>5 小时 20 分钟</x:v>
      </x:c>
      <x:c r="M92" s="89" t="n">
        <x:v>4770</x:v>
      </x:c>
      <x:c r="N92" s="89" t="n">
        <x:v>0</x:v>
      </x:c>
      <x:c r="O92" s="89" t="n">
        <x:f>M92+N92</x:f>
        <x:v>4770</x:v>
      </x:c>
      <x:c r="P92" s="88" t="str">
        <x:f>IF(O92&lt;5000,"是","否")</x:f>
        <x:v>是</x:v>
      </x:c>
      <x:c r="Q92" s="90" t="str">
        <x:v>国内经济舱通常含20kg；出票前须按实际票价等级复核</x:v>
      </x:c>
      <x:c r="R92" s="90" t="str">
        <x:v>该去程对应的最低可订返程组合；具体返程航班需打开来源链接确认</x:v>
      </x:c>
      <x:c r="S92" s="91" t="n">
        <x:v>46267.746032905095</x:v>
      </x:c>
      <x:c r="T92" s="92" t="str">
        <x:v>https://www.google.com/travel/flights?hl=zh-CN&amp;curr=CNY&amp;q=Flights%20from%20Chongqing%20to%20Kunming%20from%202026-10-03%20to%202026-10-09</x:v>
      </x:c>
      <x:c r="U92" s="136" t="n">
        <x:v>46304</x:v>
      </x:c>
      <x:c r="V92" s="90" t="str">
        <x:v>22:05</x:v>
      </x:c>
      <x:c r="W92" s="90" t="str">
        <x:v>昆明长水国际机场</x:v>
      </x:c>
      <x:c r="X92" s="137" t="n">
        <x:v>46304</x:v>
      </x:c>
      <x:c r="Y92" s="90" t="str">
        <x:v>23:50</x:v>
      </x:c>
      <x:c r="Z92" s="90" t="str">
        <x:v>重庆江北国际机场</x:v>
      </x:c>
      <x:c r="AA92" s="90" t="str">
        <x:v>南航</x:v>
      </x:c>
      <x:c r="AB92" s="90" t="n">
        <x:v>0</x:v>
      </x:c>
      <x:c r="AC92" s="90" t="str">
        <x:v>1 小时 45 分钟</x:v>
      </x:c>
      <x:c r="AD92" s="138" t="n">
        <x:v>4770</x:v>
      </x:c>
      <x:c r="AE92" s="90" t="str">
        <x:v>匹配原始往返起价</x:v>
      </x:c>
      <x:c r="AF92" s="92" t="str">
        <x:v>https://www.google.com/travel/flights/search?tfs=CBwQAhpuEgoyMDI2LTEwLTAzIiAKA0NLRxIKMjAyNi0xMC0wMxoDV1VIKgJDWjIEMzYyOCIgCgNXVUgSCjIwMjYtMTAtMDMaA0tNRyoCQ1oyBDM0NjlqDQgCEgkvbS8wMTcyMzZyDQgCEgkvbS8wMWMwNmQaKhIKMjAyNi0xMC0wOWoNCAISCS9tLzAxYzA2ZHINCAISCS9tLzAxNzIzNkABSAFwAYIBCwj___________8BmAEB&amp;tfu=CnRDalJJVGxGb1IzSTNiM1ZaTUVsQlJXdFdVbEZDUnkwdExTMHRMUzB0TFhObGRYVXlNa0ZCUVVGQlIzRlpSRlJ6UkdOUFNHTkJFZzFEV2pNMk1qaDhRMW96TkRZNUdnb0lvaVVRQUJvRFEwNVpPQnh3dmFvRRIGCAAgAigBIgA&amp;hl=zh-CN&amp;curr=CNY</x:v>
      </x:c>
    </x:row>
    <x:row r="93" ht="42" customHeight="1">
      <x:c r="A93" s="85" t="n">
        <x:f>ROW()-7</x:f>
        <x:v>86</x:v>
      </x:c>
      <x:c r="B93" s="86" t="n">
        <x:v>46299</x:v>
      </x:c>
      <x:c r="C93" s="86" t="n">
        <x:v>46304</x:v>
      </x:c>
      <x:c r="D93" s="87" t="n">
        <x:v>5</x:v>
      </x:c>
      <x:c r="E93" s="88" t="str">
        <x:v>南航</x:v>
      </x:c>
      <x:c r="F93" s="88" t="str">
        <x:v>11:15</x:v>
      </x:c>
      <x:c r="G93" s="88" t="str">
        <x:v>16:35</x:v>
      </x:c>
      <x:c r="H93" s="88" t="str">
        <x:v>重庆江北国际机场</x:v>
      </x:c>
      <x:c r="I93" s="88" t="str">
        <x:v>昆明长水国际机场</x:v>
      </x:c>
      <x:c r="J93" s="88" t="n">
        <x:v>1</x:v>
      </x:c>
      <x:c r="K93" s="88" t="str">
        <x:v>武汉市的武汉天河国际机场 / 1 小时 30 分钟</x:v>
      </x:c>
      <x:c r="L93" s="88" t="str">
        <x:v>5 小时 20 分钟</x:v>
      </x:c>
      <x:c r="M93" s="89" t="n">
        <x:v>4770</x:v>
      </x:c>
      <x:c r="N93" s="89" t="n">
        <x:v>0</x:v>
      </x:c>
      <x:c r="O93" s="89" t="n">
        <x:f>M93+N93</x:f>
        <x:v>4770</x:v>
      </x:c>
      <x:c r="P93" s="88" t="str">
        <x:f>IF(O93&lt;5000,"是","否")</x:f>
        <x:v>是</x:v>
      </x:c>
      <x:c r="Q93" s="90" t="str">
        <x:v>国内经济舱通常含20kg；出票前须按实际票价等级复核</x:v>
      </x:c>
      <x:c r="R93" s="90" t="str">
        <x:v>该去程对应的最低可订返程组合；具体返程航班需打开来源链接确认</x:v>
      </x:c>
      <x:c r="S93" s="91" t="n">
        <x:v>46267.746032905095</x:v>
      </x:c>
      <x:c r="T93" s="92" t="str">
        <x:v>https://www.google.com/travel/flights?hl=zh-CN&amp;curr=CNY&amp;q=Flights%20from%20Chongqing%20to%20Kunming%20from%202026-10-04%20to%202026-10-09</x:v>
      </x:c>
      <x:c r="U93" s="136" t="n">
        <x:v>46304</x:v>
      </x:c>
      <x:c r="V93" s="90" t="str">
        <x:v>22:05</x:v>
      </x:c>
      <x:c r="W93" s="90" t="str">
        <x:v>昆明长水国际机场</x:v>
      </x:c>
      <x:c r="X93" s="137" t="n">
        <x:v>46304</x:v>
      </x:c>
      <x:c r="Y93" s="90" t="str">
        <x:v>23:50</x:v>
      </x:c>
      <x:c r="Z93" s="90" t="str">
        <x:v>重庆江北国际机场</x:v>
      </x:c>
      <x:c r="AA93" s="90" t="str">
        <x:v>南航</x:v>
      </x:c>
      <x:c r="AB93" s="90" t="n">
        <x:v>0</x:v>
      </x:c>
      <x:c r="AC93" s="90" t="str">
        <x:v>1 小时 45 分钟</x:v>
      </x:c>
      <x:c r="AD93" s="138" t="n">
        <x:v>4770</x:v>
      </x:c>
      <x:c r="AE93" s="90" t="str">
        <x:v>匹配原始往返起价</x:v>
      </x:c>
      <x:c r="AF93" s="92" t="str">
        <x:v>https://www.google.com/travel/flights/search?tfs=CBwQAhpuEgoyMDI2LTEwLTA0IiAKA0NLRxIKMjAyNi0xMC0wNBoDV1VIKgJDWjIEMzYyOCIgCgNXVUgSCjIwMjYtMTAtMDQaA0tNRyoCQ1oyBDM0NjlqDQgCEgkvbS8wMTcyMzZyDQgCEgkvbS8wMWMwNmQaKhIKMjAyNi0xMC0wOWoNCAISCS9tLzAxYzA2ZHINCAISCS9tLzAxNzIzNkABSAFwAYIBCwj___________8BmAEB&amp;tfu=CnRDalJJTlU4M1RFRndjM05IY25OQlJtVmFNMmRDUnkwdExTMHRMUzB0TFhOdFltUm5ORUZCUVVGQlIzRlpSVXRqUjFVNUxVRkJFZzFEV2pNMk1qaDhRMW96TkRZNUdnb0lvaVVRQUJvRFEwNVpPQnh3dmFvRRICCAAiAA&amp;hl=zh-CN&amp;curr=CNY</x:v>
      </x:c>
    </x:row>
    <x:row r="94" ht="42" customHeight="1">
      <x:c r="A94" s="85" t="n">
        <x:f>ROW()-7</x:f>
        <x:v>87</x:v>
      </x:c>
      <x:c r="B94" s="86" t="n">
        <x:v>46299</x:v>
      </x:c>
      <x:c r="C94" s="86" t="n">
        <x:v>46304</x:v>
      </x:c>
      <x:c r="D94" s="87" t="n">
        <x:v>5</x:v>
      </x:c>
      <x:c r="E94" s="88" t="str">
        <x:v>南航</x:v>
      </x:c>
      <x:c r="F94" s="88" t="str">
        <x:v>23:55</x:v>
      </x:c>
      <x:c r="G94" s="88" t="str">
        <x:v>09:40 +1</x:v>
      </x:c>
      <x:c r="H94" s="88" t="str">
        <x:v>重庆江北国际机场</x:v>
      </x:c>
      <x:c r="I94" s="88" t="str">
        <x:v>昆明长水国际机场</x:v>
      </x:c>
      <x:c r="J94" s="88" t="n">
        <x:v>1</x:v>
      </x:c>
      <x:c r="K94" s="88" t="str">
        <x:v>武汉市的武汉天河国际机场 / 6 小时 15 分钟</x:v>
      </x:c>
      <x:c r="L94" s="88" t="str">
        <x:v>9 小时 45 分钟</x:v>
      </x:c>
      <x:c r="M94" s="89" t="n">
        <x:v>4770</x:v>
      </x:c>
      <x:c r="N94" s="89" t="n">
        <x:v>0</x:v>
      </x:c>
      <x:c r="O94" s="89" t="n">
        <x:f>M94+N94</x:f>
        <x:v>4770</x:v>
      </x:c>
      <x:c r="P94" s="88" t="str">
        <x:f>IF(O94&lt;5000,"是","否")</x:f>
        <x:v>是</x:v>
      </x:c>
      <x:c r="Q94" s="90" t="str">
        <x:v>国内经济舱通常含20kg；出票前须按实际票价等级复核</x:v>
      </x:c>
      <x:c r="R94" s="90" t="str">
        <x:v>该去程对应的最低可订返程组合；具体返程航班需打开来源链接确认</x:v>
      </x:c>
      <x:c r="S94" s="91" t="n">
        <x:v>46267.746032905095</x:v>
      </x:c>
      <x:c r="T94" s="92" t="str">
        <x:v>https://www.google.com/travel/flights?hl=zh-CN&amp;curr=CNY&amp;q=Flights%20from%20Chongqing%20to%20Kunming%20from%202026-10-04%20to%202026-10-09</x:v>
      </x:c>
      <x:c r="U94" s="136" t="n">
        <x:v>46304</x:v>
      </x:c>
      <x:c r="V94" s="90" t="str">
        <x:v>22:05</x:v>
      </x:c>
      <x:c r="W94" s="90" t="str">
        <x:v>昆明长水国际机场</x:v>
      </x:c>
      <x:c r="X94" s="137" t="n">
        <x:v>46304</x:v>
      </x:c>
      <x:c r="Y94" s="90" t="str">
        <x:v>23:50</x:v>
      </x:c>
      <x:c r="Z94" s="90" t="str">
        <x:v>重庆江北国际机场</x:v>
      </x:c>
      <x:c r="AA94" s="90" t="str">
        <x:v>南航</x:v>
      </x:c>
      <x:c r="AB94" s="90" t="n">
        <x:v>0</x:v>
      </x:c>
      <x:c r="AC94" s="90" t="str">
        <x:v>1 小时 45 分钟</x:v>
      </x:c>
      <x:c r="AD94" s="138" t="n">
        <x:v>4770</x:v>
      </x:c>
      <x:c r="AE94" s="90" t="str">
        <x:v>匹配原始往返起价</x:v>
      </x:c>
      <x:c r="AF94" s="92" t="str">
        <x:v>https://www.google.com/travel/flights/search?tfs=CBwQAhpuEgoyMDI2LTEwLTA0IiAKA0NLRxIKMjAyNi0xMC0wNBoDV1VIKgJDWjIEMzY0NCIgCgNXVUgSCjIwMjYtMTAtMDUaA0tNRyoCQ1oyBDg0NDVqDQgCEgkvbS8wMTcyMzZyDQgCEgkvbS8wMWMwNmQaKhIKMjAyNi0xMC0wOWoNCAISCS9tLzAxYzA2ZHINCAISCS9tLzAxNzIzNkABSAFwAYIBCwj___________8BmAEB&amp;tfu=CnRDalJJT1hWcVIzUnVRa3BOUjAxQlJVRnpOR2RDUnkwdExTMHRMWE50ZEhneE5pMXVNa0ZCUVVGQlIzRlpSRlJyUzJVeFF6SkJFZzFEV2pNMk5EUjhRMW80TkRRMUdnb0lvaVVRQUJvRFEwNVpPQnh3dmFvRRICCAAiAA&amp;hl=zh-CN&amp;curr=CNY</x:v>
      </x:c>
    </x:row>
    <x:row r="95" ht="42" customHeight="1">
      <x:c r="A95" s="85" t="n">
        <x:f>ROW()-7</x:f>
        <x:v>88</x:v>
      </x:c>
      <x:c r="B95" s="86" t="n">
        <x:v>46300</x:v>
      </x:c>
      <x:c r="C95" s="86" t="n">
        <x:v>46304</x:v>
      </x:c>
      <x:c r="D95" s="87" t="n">
        <x:v>4</x:v>
      </x:c>
      <x:c r="E95" s="88" t="str">
        <x:v>南航</x:v>
      </x:c>
      <x:c r="F95" s="88" t="str">
        <x:v>10:00</x:v>
      </x:c>
      <x:c r="G95" s="88" t="str">
        <x:v>16:35</x:v>
      </x:c>
      <x:c r="H95" s="88" t="str">
        <x:v>重庆江北国际机场</x:v>
      </x:c>
      <x:c r="I95" s="88" t="str">
        <x:v>昆明长水国际机场</x:v>
      </x:c>
      <x:c r="J95" s="88" t="n">
        <x:v>1</x:v>
      </x:c>
      <x:c r="K95" s="88" t="str">
        <x:v>武汉市的武汉天河国际机场 / 2 小时 55 分钟</x:v>
      </x:c>
      <x:c r="L95" s="88" t="str">
        <x:v>6 小时 35 分钟</x:v>
      </x:c>
      <x:c r="M95" s="89" t="n">
        <x:v>4770</x:v>
      </x:c>
      <x:c r="N95" s="89" t="n">
        <x:v>0</x:v>
      </x:c>
      <x:c r="O95" s="89" t="n">
        <x:f>M95+N95</x:f>
        <x:v>4770</x:v>
      </x:c>
      <x:c r="P95" s="88" t="str">
        <x:f>IF(O95&lt;5000,"是","否")</x:f>
        <x:v>是</x:v>
      </x:c>
      <x:c r="Q95" s="90" t="str">
        <x:v>国内经济舱通常含20kg；出票前须按实际票价等级复核</x:v>
      </x:c>
      <x:c r="R95" s="90" t="str">
        <x:v>该去程对应的最低可订返程组合；具体返程航班需打开来源链接确认</x:v>
      </x:c>
      <x:c r="S95" s="91" t="n">
        <x:v>46267.746032905095</x:v>
      </x:c>
      <x:c r="T95" s="92" t="str">
        <x:v>https://www.google.com/travel/flights?hl=zh-CN&amp;curr=CNY&amp;q=Flights%20from%20Chongqing%20to%20Kunming%20from%202026-10-05%20to%202026-10-09</x:v>
      </x:c>
      <x:c r="U95" s="136"/>
      <x:c r="V95" s="90"/>
      <x:c r="W95" s="90"/>
      <x:c r="X95" s="137"/>
      <x:c r="Y95" s="90"/>
      <x:c r="Z95" s="90"/>
      <x:c r="AA95" s="90"/>
      <x:c r="AB95" s="90"/>
      <x:c r="AC95" s="90"/>
      <x:c r="AD95" s="138"/>
      <x:c r="AE95" s="90" t="str">
        <x:v>去程当前未找到，返程待核验</x:v>
      </x:c>
      <x:c r="AF95" s="92" t="str">
        <x:v>https://www.google.com/travel/flights?hl=zh-CN&amp;curr=CNY&amp;q=Flights%20from%20Chongqing%20to%20Kunming%20from%202026-10-05%20to%202026-10-09</x:v>
      </x:c>
    </x:row>
    <x:row r="96" ht="42" customHeight="1">
      <x:c r="A96" s="85" t="n">
        <x:f>ROW()-7</x:f>
        <x:v>89</x:v>
      </x:c>
      <x:c r="B96" s="86" t="n">
        <x:v>46298</x:v>
      </x:c>
      <x:c r="C96" s="86" t="n">
        <x:v>46304</x:v>
      </x:c>
      <x:c r="D96" s="87" t="n">
        <x:v>6</x:v>
      </x:c>
      <x:c r="E96" s="88" t="str">
        <x:v>南航</x:v>
      </x:c>
      <x:c r="F96" s="88" t="str">
        <x:v>11:50</x:v>
      </x:c>
      <x:c r="G96" s="88" t="str">
        <x:v>18:35</x:v>
      </x:c>
      <x:c r="H96" s="88" t="str">
        <x:v>重庆江北国际机场</x:v>
      </x:c>
      <x:c r="I96" s="88" t="str">
        <x:v>昆明长水国际机场</x:v>
      </x:c>
      <x:c r="J96" s="88" t="n">
        <x:v>1</x:v>
      </x:c>
      <x:c r="K96" s="88" t="str">
        <x:v>郑州市的郑州新郑国际机场 / 2 小时 15 分钟</x:v>
      </x:c>
      <x:c r="L96" s="88" t="str">
        <x:v>6 小时 45 分钟</x:v>
      </x:c>
      <x:c r="M96" s="89" t="n">
        <x:v>4780</x:v>
      </x:c>
      <x:c r="N96" s="89" t="n">
        <x:v>0</x:v>
      </x:c>
      <x:c r="O96" s="89" t="n">
        <x:f>M96+N96</x:f>
        <x:v>4780</x:v>
      </x:c>
      <x:c r="P96" s="88" t="str">
        <x:f>IF(O96&lt;5000,"是","否")</x:f>
        <x:v>是</x:v>
      </x:c>
      <x:c r="Q96" s="90" t="str">
        <x:v>国内经济舱通常含20kg；出票前须按实际票价等级复核</x:v>
      </x:c>
      <x:c r="R96" s="90" t="str">
        <x:v>该去程对应的最低可订返程组合；具体返程航班需打开来源链接确认</x:v>
      </x:c>
      <x:c r="S96" s="91" t="n">
        <x:v>46267.746032905095</x:v>
      </x:c>
      <x:c r="T96" s="92" t="str">
        <x:v>https://www.google.com/travel/flights?hl=zh-CN&amp;curr=CNY&amp;q=Flights%20from%20Chongqing%20to%20Kunming%20from%202026-10-03%20to%202026-10-09</x:v>
      </x:c>
      <x:c r="U96" s="136" t="n">
        <x:v>46304</x:v>
      </x:c>
      <x:c r="V96" s="90" t="str">
        <x:v>22:05</x:v>
      </x:c>
      <x:c r="W96" s="90" t="str">
        <x:v>昆明长水国际机场</x:v>
      </x:c>
      <x:c r="X96" s="137" t="n">
        <x:v>46304</x:v>
      </x:c>
      <x:c r="Y96" s="90" t="str">
        <x:v>23:50</x:v>
      </x:c>
      <x:c r="Z96" s="90" t="str">
        <x:v>重庆江北国际机场</x:v>
      </x:c>
      <x:c r="AA96" s="90" t="str">
        <x:v>南航</x:v>
      </x:c>
      <x:c r="AB96" s="90" t="n">
        <x:v>0</x:v>
      </x:c>
      <x:c r="AC96" s="90" t="str">
        <x:v>1 小时 45 分钟</x:v>
      </x:c>
      <x:c r="AD96" s="138" t="n">
        <x:v>4780</x:v>
      </x:c>
      <x:c r="AE96" s="90" t="str">
        <x:v>匹配原始往返起价</x:v>
      </x:c>
      <x:c r="AF96" s="92" t="str">
        <x:v>https://www.google.com/travel/flights/search?tfs=CBwQAhpuEgoyMDI2LTEwLTAzIiAKA0NLRxIKMjAyNi0xMC0wMxoDQ0dPKgJDWjIEMzQ4MCIgCgNDR08SCjIwMjYtMTAtMDMaA0tNRyoCQ1oyBDgyOTFqDQgCEgkvbS8wMTcyMzZyDQgCEgkvbS8wMWMwNmQaKhIKMjAyNi0xMC0wOWoNCAISCS9tLzAxYzA2ZHINCAISCS9tLzAxNzIzNkABSAFwAYIBCwj___________8BmAEB&amp;tfu=CnRDalJJYjBOd1MydElWbTlpTW1OQlJIaERlVUZDUnkwdExTMHRMWE50WTNkck55MXVNa0ZCUVVGQlIzRlpSRlZuU2tob09HOUJFZzFEV2pNME9EQjhRMW80TWpreEdnb0lyQ1VRQUJvRFEwNVpPQnh3MHFzRRIGCAAgAigBIgA&amp;hl=zh-CN&amp;curr=CNY</x:v>
      </x:c>
    </x:row>
    <x:row r="97" ht="42" customHeight="1">
      <x:c r="A97" s="85" t="n">
        <x:f>ROW()-7</x:f>
        <x:v>90</x:v>
      </x:c>
      <x:c r="B97" s="86" t="n">
        <x:v>46296</x:v>
      </x:c>
      <x:c r="C97" s="86" t="n">
        <x:v>46300</x:v>
      </x:c>
      <x:c r="D97" s="87" t="n">
        <x:v>4</x:v>
      </x:c>
      <x:c r="E97" s="88" t="str">
        <x:v>南航</x:v>
      </x:c>
      <x:c r="F97" s="88" t="str">
        <x:v>23:00</x:v>
      </x:c>
      <x:c r="G97" s="88" t="str">
        <x:v>09:40 +1</x:v>
      </x:c>
      <x:c r="H97" s="88" t="str">
        <x:v>重庆江北国际机场</x:v>
      </x:c>
      <x:c r="I97" s="88" t="str">
        <x:v>昆明长水国际机场</x:v>
      </x:c>
      <x:c r="J97" s="88" t="n">
        <x:v>1</x:v>
      </x:c>
      <x:c r="K97" s="88" t="str">
        <x:v>武汉市的武汉天河国际机场 / 7 小时 10 分钟</x:v>
      </x:c>
      <x:c r="L97" s="88" t="str">
        <x:v>10 小时 40 分钟</x:v>
      </x:c>
      <x:c r="M97" s="89" t="n">
        <x:v>4820</x:v>
      </x:c>
      <x:c r="N97" s="89" t="n">
        <x:v>0</x:v>
      </x:c>
      <x:c r="O97" s="89" t="n">
        <x:f>M97+N97</x:f>
        <x:v>4820</x:v>
      </x:c>
      <x:c r="P97" s="88" t="str">
        <x:f>IF(O97&lt;5000,"是","否")</x:f>
        <x:v>是</x:v>
      </x:c>
      <x:c r="Q97" s="90" t="str">
        <x:v>国内经济舱通常含20kg；出票前须按实际票价等级复核</x:v>
      </x:c>
      <x:c r="R97" s="90" t="str">
        <x:v>该去程对应的最低可订返程组合；具体返程航班需打开来源链接确认</x:v>
      </x:c>
      <x:c r="S97" s="91" t="n">
        <x:v>46267.746032905095</x:v>
      </x:c>
      <x:c r="T97" s="92" t="str">
        <x:v>https://www.google.com/travel/flights?hl=zh-CN&amp;curr=CNY&amp;q=Flights%20from%20Chongqing%20to%20Kunming%20from%202026-10-01%20to%202026-10-05</x:v>
      </x:c>
      <x:c r="U97" s="136" t="n">
        <x:v>46300</x:v>
      </x:c>
      <x:c r="V97" s="90" t="str">
        <x:v>22:05</x:v>
      </x:c>
      <x:c r="W97" s="90" t="str">
        <x:v>昆明长水国际机场</x:v>
      </x:c>
      <x:c r="X97" s="137" t="n">
        <x:v>46300</x:v>
      </x:c>
      <x:c r="Y97" s="90" t="str">
        <x:v>23:50</x:v>
      </x:c>
      <x:c r="Z97" s="90" t="str">
        <x:v>重庆江北国际机场</x:v>
      </x:c>
      <x:c r="AA97" s="90" t="str">
        <x:v>南航</x:v>
      </x:c>
      <x:c r="AB97" s="90" t="n">
        <x:v>0</x:v>
      </x:c>
      <x:c r="AC97" s="90" t="str">
        <x:v>1 小时 45 分钟</x:v>
      </x:c>
      <x:c r="AD97" s="138" t="n">
        <x:v>4820</x:v>
      </x:c>
      <x:c r="AE97" s="90" t="str">
        <x:v>匹配原始往返起价</x:v>
      </x:c>
      <x:c r="AF97" s="92" t="str">
        <x:v>https://www.google.com/travel/flights/search?tfs=CBwQAhpuEgoyMDI2LTEwLTAxIiAKA0NLRxIKMjAyNi0xMC0wMRoDV1VIKgJDWjIEMzY0NCIgCgNXVUgSCjIwMjYtMTAtMDIaA0tNRyoCQ1oyBDg0NDVqDQgCEgkvbS8wMTcyMzZyDQgCEgkvbS8wMWMwNmQaKhIKMjAyNi0xMC0wNWoNCAISCS9tLzAxYzA2ZHINCAISCS9tLzAxNzIzNkABSAFwAYIBCwj___________8BmAEB&amp;tfu=CnRDalJJZEU5VWJEQndRbVpTWVhkQlIyUjVkbWRDUnkwdExTMHRMUzB0YzJWaVozSXpNMEZCUVVGQlIzRlpSRlZqUW1ReFptdEJFZzFEV2pNMk5EUjhRMW80TkRRMUdnb0kxQ1VRQUJvRFEwNVpPQnh3cGJBRRICCAAiAA&amp;hl=zh-CN&amp;curr=CNY</x:v>
      </x:c>
    </x:row>
    <x:row r="98" ht="42" customHeight="1">
      <x:c r="A98" s="85" t="n">
        <x:f>ROW()-7</x:f>
        <x:v>91</x:v>
      </x:c>
      <x:c r="B98" s="86" t="n">
        <x:v>46297</x:v>
      </x:c>
      <x:c r="C98" s="86" t="n">
        <x:v>46304</x:v>
      </x:c>
      <x:c r="D98" s="87" t="n">
        <x:v>7</x:v>
      </x:c>
      <x:c r="E98" s="88" t="str">
        <x:v>南航</x:v>
      </x:c>
      <x:c r="F98" s="88" t="str">
        <x:v>11:30</x:v>
      </x:c>
      <x:c r="G98" s="88" t="str">
        <x:v>16:35</x:v>
      </x:c>
      <x:c r="H98" s="88" t="str">
        <x:v>重庆江北国际机场</x:v>
      </x:c>
      <x:c r="I98" s="88" t="str">
        <x:v>昆明长水国际机场</x:v>
      </x:c>
      <x:c r="J98" s="88" t="n">
        <x:v>1</x:v>
      </x:c>
      <x:c r="K98" s="88" t="str">
        <x:v>武汉市的武汉天河国际机场 / 1 小时 15 分钟</x:v>
      </x:c>
      <x:c r="L98" s="88" t="str">
        <x:v>5 小时 5 分钟</x:v>
      </x:c>
      <x:c r="M98" s="89" t="n">
        <x:v>4820</x:v>
      </x:c>
      <x:c r="N98" s="89" t="n">
        <x:v>0</x:v>
      </x:c>
      <x:c r="O98" s="89" t="n">
        <x:f>M98+N98</x:f>
        <x:v>4820</x:v>
      </x:c>
      <x:c r="P98" s="88" t="str">
        <x:f>IF(O98&lt;5000,"是","否")</x:f>
        <x:v>是</x:v>
      </x:c>
      <x:c r="Q98" s="90" t="str">
        <x:v>国内经济舱通常含20kg；出票前须按实际票价等级复核</x:v>
      </x:c>
      <x:c r="R98" s="90" t="str">
        <x:v>该去程对应的最低可订返程组合；具体返程航班需打开来源链接确认</x:v>
      </x:c>
      <x:c r="S98" s="91" t="n">
        <x:v>46267.746032905095</x:v>
      </x:c>
      <x:c r="T98" s="92" t="str">
        <x:v>https://www.google.com/travel/flights?hl=zh-CN&amp;curr=CNY&amp;q=Flights%20from%20Chongqing%20to%20Kunming%20from%202026-10-02%20to%202026-10-09</x:v>
      </x:c>
      <x:c r="U98" s="136" t="n">
        <x:v>46304</x:v>
      </x:c>
      <x:c r="V98" s="90" t="str">
        <x:v>22:05</x:v>
      </x:c>
      <x:c r="W98" s="90" t="str">
        <x:v>昆明长水国际机场</x:v>
      </x:c>
      <x:c r="X98" s="137" t="n">
        <x:v>46304</x:v>
      </x:c>
      <x:c r="Y98" s="90" t="str">
        <x:v>23:50</x:v>
      </x:c>
      <x:c r="Z98" s="90" t="str">
        <x:v>重庆江北国际机场</x:v>
      </x:c>
      <x:c r="AA98" s="90" t="str">
        <x:v>南航</x:v>
      </x:c>
      <x:c r="AB98" s="90" t="n">
        <x:v>0</x:v>
      </x:c>
      <x:c r="AC98" s="90" t="str">
        <x:v>1 小时 45 分钟</x:v>
      </x:c>
      <x:c r="AD98" s="138" t="n">
        <x:v>4820</x:v>
      </x:c>
      <x:c r="AE98" s="90" t="str">
        <x:v>匹配原始往返起价</x:v>
      </x:c>
      <x:c r="AF98" s="92" t="str">
        <x:v>https://www.google.com/travel/flights/search?tfs=CBwQAhpuEgoyMDI2LTEwLTAyIiAKA0NLRxIKMjAyNi0xMC0wMhoDV1VIKgJDWjIEMjM3NyIgCgNXVUgSCjIwMjYtMTAtMDIaA0tNRyoCQ1oyBDM0NjlqDQgCEgkvbS8wMTcyMzZyDQgCEgkvbS8wMWMwNmQaKhIKMjAyNi0xMC0wOWoNCAISCS9tLzAxYzA2ZHINCAISCS9tLzAxNzIzNkABSAFwAYIBCwj___________8BmAEB&amp;tfu=CnRDalJJYTBKcFduQjNPRU4zUjFGQlJYUjRlVUZDUnkwdExTMHRMWE5sY0dReE1TMXVNVUZCUVVGQlIzRlpSRlZ2UlRsMlVrTkJFZzFEV2pJek56ZDhRMW96TkRZNUdnb0kxQ1VRQUJvRFEwNVpPQnh3cGJBRRIGCAAgAigBIgA&amp;hl=zh-CN&amp;curr=CNY</x:v>
      </x:c>
    </x:row>
    <x:row r="99" ht="42" customHeight="1">
      <x:c r="A99" s="85" t="n">
        <x:f>ROW()-7</x:f>
        <x:v>92</x:v>
      </x:c>
      <x:c r="B99" s="86" t="n">
        <x:v>46298</x:v>
      </x:c>
      <x:c r="C99" s="86" t="n">
        <x:v>46303</x:v>
      </x:c>
      <x:c r="D99" s="87" t="n">
        <x:v>5</x:v>
      </x:c>
      <x:c r="E99" s="88" t="str">
        <x:v>南航</x:v>
      </x:c>
      <x:c r="F99" s="88" t="str">
        <x:v>23:00</x:v>
      </x:c>
      <x:c r="G99" s="88" t="str">
        <x:v>09:40 +1</x:v>
      </x:c>
      <x:c r="H99" s="88" t="str">
        <x:v>重庆江北国际机场</x:v>
      </x:c>
      <x:c r="I99" s="88" t="str">
        <x:v>昆明长水国际机场</x:v>
      </x:c>
      <x:c r="J99" s="88" t="n">
        <x:v>1</x:v>
      </x:c>
      <x:c r="K99" s="88" t="str">
        <x:v>武汉市的武汉天河国际机场 / 7 小时 10 分钟</x:v>
      </x:c>
      <x:c r="L99" s="88" t="str">
        <x:v>10 小时 40 分钟</x:v>
      </x:c>
      <x:c r="M99" s="89" t="n">
        <x:v>4820</x:v>
      </x:c>
      <x:c r="N99" s="89" t="n">
        <x:v>0</x:v>
      </x:c>
      <x:c r="O99" s="89" t="n">
        <x:f>M99+N99</x:f>
        <x:v>4820</x:v>
      </x:c>
      <x:c r="P99" s="88" t="str">
        <x:f>IF(O99&lt;5000,"是","否")</x:f>
        <x:v>是</x:v>
      </x:c>
      <x:c r="Q99" s="90" t="str">
        <x:v>国内经济舱通常含20kg；出票前须按实际票价等级复核</x:v>
      </x:c>
      <x:c r="R99" s="90" t="str">
        <x:v>该去程对应的最低可订返程组合；具体返程航班需打开来源链接确认</x:v>
      </x:c>
      <x:c r="S99" s="91" t="n">
        <x:v>46267.746032905095</x:v>
      </x:c>
      <x:c r="T99" s="92" t="str">
        <x:v>https://www.google.com/travel/flights?hl=zh-CN&amp;curr=CNY&amp;q=Flights%20from%20Chongqing%20to%20Kunming%20from%202026-10-03%20to%202026-10-08</x:v>
      </x:c>
      <x:c r="U99" s="136" t="n">
        <x:v>46303</x:v>
      </x:c>
      <x:c r="V99" s="90" t="str">
        <x:v>22:05</x:v>
      </x:c>
      <x:c r="W99" s="90" t="str">
        <x:v>昆明长水国际机场</x:v>
      </x:c>
      <x:c r="X99" s="137" t="n">
        <x:v>46303</x:v>
      </x:c>
      <x:c r="Y99" s="90" t="str">
        <x:v>23:50</x:v>
      </x:c>
      <x:c r="Z99" s="90" t="str">
        <x:v>重庆江北国际机场</x:v>
      </x:c>
      <x:c r="AA99" s="90" t="str">
        <x:v>南航</x:v>
      </x:c>
      <x:c r="AB99" s="90" t="n">
        <x:v>0</x:v>
      </x:c>
      <x:c r="AC99" s="90" t="str">
        <x:v>1 小时 45 分钟</x:v>
      </x:c>
      <x:c r="AD99" s="138" t="n">
        <x:v>4820</x:v>
      </x:c>
      <x:c r="AE99" s="90" t="str">
        <x:v>匹配原始往返起价</x:v>
      </x:c>
      <x:c r="AF99" s="92" t="str">
        <x:v>https://www.google.com/travel/flights/search?tfs=CBwQAhpuEgoyMDI2LTEwLTAzIiAKA0NLRxIKMjAyNi0xMC0wMxoDV1VIKgJDWjIEMzY0NCIgCgNXVUgSCjIwMjYtMTAtMDQaA0tNRyoCQ1oyBDg0NDVqDQgCEgkvbS8wMTcyMzZyDQgCEgkvbS8wMWMwNmQaKhIKMjAyNi0xMC0wOGoNCAISCS9tLzAxYzA2ZHINCAISCS9tLzAxNzIzNkABSAFwAYIBCwj___________8BmAEB&amp;tfu=CnRDalJJV25VMlpHdHJNMVpPY1ZsQlJGOWtiWGRDUnkwdExTMHRMUzF6YlhWa015MXVNa0ZCUVVGQlIzRlpSRlZuU0U5dFgzRkJFZzFEV2pNMk5EUjhRMW80TkRRMUdnb0kxQ1VRQUJvRFEwNVpPQnh3cGJBRRICCAAiAA&amp;hl=zh-CN&amp;curr=CNY</x:v>
      </x:c>
    </x:row>
    <x:row r="100" ht="42" customHeight="1">
      <x:c r="A100" s="85" t="n">
        <x:f>ROW()-7</x:f>
        <x:v>93</x:v>
      </x:c>
      <x:c r="B100" s="86" t="n">
        <x:v>46299</x:v>
      </x:c>
      <x:c r="C100" s="86" t="n">
        <x:v>46304</x:v>
      </x:c>
      <x:c r="D100" s="87" t="n">
        <x:v>5</x:v>
      </x:c>
      <x:c r="E100" s="88" t="str">
        <x:v>南航</x:v>
      </x:c>
      <x:c r="F100" s="88" t="str">
        <x:v>11:30</x:v>
      </x:c>
      <x:c r="G100" s="88" t="str">
        <x:v>16:35</x:v>
      </x:c>
      <x:c r="H100" s="88" t="str">
        <x:v>重庆江北国际机场</x:v>
      </x:c>
      <x:c r="I100" s="88" t="str">
        <x:v>昆明长水国际机场</x:v>
      </x:c>
      <x:c r="J100" s="88" t="n">
        <x:v>1</x:v>
      </x:c>
      <x:c r="K100" s="88" t="str">
        <x:v>武汉市的武汉天河国际机场 / 1 小时 15 分钟</x:v>
      </x:c>
      <x:c r="L100" s="88" t="str">
        <x:v>5 小时 5 分钟</x:v>
      </x:c>
      <x:c r="M100" s="89" t="n">
        <x:v>4820</x:v>
      </x:c>
      <x:c r="N100" s="89" t="n">
        <x:v>0</x:v>
      </x:c>
      <x:c r="O100" s="89" t="n">
        <x:f>M100+N100</x:f>
        <x:v>4820</x:v>
      </x:c>
      <x:c r="P100" s="88" t="str">
        <x:f>IF(O100&lt;5000,"是","否")</x:f>
        <x:v>是</x:v>
      </x:c>
      <x:c r="Q100" s="90" t="str">
        <x:v>国内经济舱通常含20kg；出票前须按实际票价等级复核</x:v>
      </x:c>
      <x:c r="R100" s="90" t="str">
        <x:v>该去程对应的最低可订返程组合；具体返程航班需打开来源链接确认</x:v>
      </x:c>
      <x:c r="S100" s="91" t="n">
        <x:v>46267.746032905095</x:v>
      </x:c>
      <x:c r="T100" s="92" t="str">
        <x:v>https://www.google.com/travel/flights?hl=zh-CN&amp;curr=CNY&amp;q=Flights%20from%20Chongqing%20to%20Kunming%20from%202026-10-04%20to%202026-10-09</x:v>
      </x:c>
      <x:c r="U100" s="136" t="n">
        <x:v>46304</x:v>
      </x:c>
      <x:c r="V100" s="90" t="str">
        <x:v>22:05</x:v>
      </x:c>
      <x:c r="W100" s="90" t="str">
        <x:v>昆明长水国际机场</x:v>
      </x:c>
      <x:c r="X100" s="137" t="n">
        <x:v>46304</x:v>
      </x:c>
      <x:c r="Y100" s="90" t="str">
        <x:v>23:50</x:v>
      </x:c>
      <x:c r="Z100" s="90" t="str">
        <x:v>重庆江北国际机场</x:v>
      </x:c>
      <x:c r="AA100" s="90" t="str">
        <x:v>南航</x:v>
      </x:c>
      <x:c r="AB100" s="90" t="n">
        <x:v>0</x:v>
      </x:c>
      <x:c r="AC100" s="90" t="str">
        <x:v>1 小时 45 分钟</x:v>
      </x:c>
      <x:c r="AD100" s="138" t="n">
        <x:v>4820</x:v>
      </x:c>
      <x:c r="AE100" s="90" t="str">
        <x:v>匹配原始往返起价</x:v>
      </x:c>
      <x:c r="AF100" s="92" t="str">
        <x:v>https://www.google.com/travel/flights/search?tfs=CBwQAhpuEgoyMDI2LTEwLTA0IiAKA0NLRxIKMjAyNi0xMC0wNBoDV1VIKgJDWjIEMjM3NyIgCgNXVUgSCjIwMjYtMTAtMDQaA0tNRyoCQ1oyBDM0NjlqDQgCEgkvbS8wMTcyMzZyDQgCEgkvbS8wMWMwNmQaKhIKMjAyNi0xMC0wOWoNCAISCS9tLzAxYzA2ZHINCAISCS9tLzAxNzIzNkABSAFwAYIBCwj___________8BmAEB&amp;tfu=CnRDalJJVEVvMGRVZFVjWE5mVEZsQlJXNDJZbWRDUnkwdExTMHRMUzB0YzJWaVpXRTBNVUZCUVVGQlIzRlpSRlpqUjA5c2FGbEJFZzFEV2pJek56ZDhRMW96TkRZNUdnb0kxQ1VRQUJvRFEwNVpPQnh3cGJBRRIGCAAgAigBIgA&amp;hl=zh-CN&amp;curr=CNY</x:v>
      </x:c>
    </x:row>
    <x:row r="101" ht="42" customHeight="1">
      <x:c r="A101" s="93" t="n">
        <x:f>ROW()-7</x:f>
        <x:v>94</x:v>
      </x:c>
      <x:c r="B101" s="94" t="n">
        <x:v>46300</x:v>
      </x:c>
      <x:c r="C101" s="94" t="n">
        <x:v>46304</x:v>
      </x:c>
      <x:c r="D101" s="95" t="n">
        <x:v>4</x:v>
      </x:c>
      <x:c r="E101" s="96" t="str">
        <x:v>南航</x:v>
      </x:c>
      <x:c r="F101" s="96" t="str">
        <x:v>11:30</x:v>
      </x:c>
      <x:c r="G101" s="96" t="str">
        <x:v>16:35</x:v>
      </x:c>
      <x:c r="H101" s="96" t="str">
        <x:v>重庆江北国际机场</x:v>
      </x:c>
      <x:c r="I101" s="96" t="str">
        <x:v>昆明长水国际机场</x:v>
      </x:c>
      <x:c r="J101" s="96" t="n">
        <x:v>1</x:v>
      </x:c>
      <x:c r="K101" s="96" t="str">
        <x:v>武汉市的武汉天河国际机场 / 1 小时 15 分钟</x:v>
      </x:c>
      <x:c r="L101" s="96" t="str">
        <x:v>5 小时 5 分钟</x:v>
      </x:c>
      <x:c r="M101" s="97" t="n">
        <x:v>4820</x:v>
      </x:c>
      <x:c r="N101" s="97" t="n">
        <x:v>0</x:v>
      </x:c>
      <x:c r="O101" s="97" t="n">
        <x:f>M101+N101</x:f>
        <x:v>4820</x:v>
      </x:c>
      <x:c r="P101" s="96" t="str">
        <x:f>IF(O101&lt;5000,"是","否")</x:f>
        <x:v>是</x:v>
      </x:c>
      <x:c r="Q101" s="98" t="str">
        <x:v>国内经济舱通常含20kg；出票前须按实际票价等级复核</x:v>
      </x:c>
      <x:c r="R101" s="98" t="str">
        <x:v>该去程对应的最低可订返程组合；具体返程航班需打开来源链接确认</x:v>
      </x:c>
      <x:c r="S101" s="99" t="n">
        <x:v>46267.746032905095</x:v>
      </x:c>
      <x:c r="T101" s="100" t="str">
        <x:v>https://www.google.com/travel/flights?hl=zh-CN&amp;curr=CNY&amp;q=Flights%20from%20Chongqing%20to%20Kunming%20from%202026-10-05%20to%202026-10-09</x:v>
      </x:c>
      <x:c r="U101" s="139" t="n">
        <x:v>46304</x:v>
      </x:c>
      <x:c r="V101" s="98" t="str">
        <x:v>22:05</x:v>
      </x:c>
      <x:c r="W101" s="98" t="str">
        <x:v>昆明长水国际机场</x:v>
      </x:c>
      <x:c r="X101" s="140" t="n">
        <x:v>46304</x:v>
      </x:c>
      <x:c r="Y101" s="98" t="str">
        <x:v>23:50</x:v>
      </x:c>
      <x:c r="Z101" s="98" t="str">
        <x:v>重庆江北国际机场</x:v>
      </x:c>
      <x:c r="AA101" s="98" t="str">
        <x:v>南航</x:v>
      </x:c>
      <x:c r="AB101" s="98" t="n">
        <x:v>0</x:v>
      </x:c>
      <x:c r="AC101" s="98" t="str">
        <x:v>1 小时 45 分钟</x:v>
      </x:c>
      <x:c r="AD101" s="141" t="n">
        <x:v>4820</x:v>
      </x:c>
      <x:c r="AE101" s="98" t="str">
        <x:v>匹配原始往返起价</x:v>
      </x:c>
      <x:c r="AF101" s="100" t="str">
        <x:v>https://www.google.com/travel/flights/search?tfs=CBwQAhpuEgoyMDI2LTEwLTA1IiAKA0NLRxIKMjAyNi0xMC0wNRoDV1VIKgJDWjIEMjM3NyIgCgNXVUgSCjIwMjYtMTAtMDUaA0tNRyoCQ1oyBDM0NjlqDQgCEgkvbS8wMTcyMzZyDQgCEgkvbS8wMWMwNmQaKhIKMjAyNi0xMC0wOWoNCAISCS9tLzAxYzA2ZHINCAISCS9tLzAxNzIzNkABSAFwAYIBCwj___________8BmAEB&amp;tfu=CnRDalJJWmsxS2JWQnVWblJPWkc5QlJEbHRlVkZDUnkwdExTMHRMWE50ZFdNeU5DMXVNa0ZCUVVGQlIzRlpSRlpWUVdSMmRqSkJFZzFEV2pJek56ZDhRMW96TkRZNUdnb0kxQ1VRQUJvRFEwNVpPQnh3cGJBRRICCAAiAA&amp;hl=zh-CN&amp;curr=CNY</x:v>
      </x:c>
    </x:row>
  </x:sheetData>
  <x:mergeCells>
    <x:mergeCell ref="A1:AF1"/>
    <x:mergeCell ref="A2:AF2"/>
    <x:mergeCell ref="A4:AF4"/>
    <x:mergeCell ref="A5:AF5"/>
  </x:mergeCells>
  <x:conditionalFormatting sqref="O8:O101">
    <x:cfRule type="cellIs" dxfId="4" priority="1" operator="lessThanOrEqual">
      <x:formula>3500</x:formula>
    </x:cfRule>
    <x:cfRule type="cellIs" dxfId="5" priority="2" operator="greaterThanOrEqual">
      <x:formula>4500</x:formula>
    </x:cfRule>
  </x:conditionalFormatting>
  <x:conditionalFormatting sqref="AE8:AE101">
    <x:cfRule type="containsText" dxfId="18" priority="3" operator="containsText" text="匹配原始"/>
    <x:cfRule type="containsText" dxfId="19" priority="4" operator="containsText" text="价格已变化"/>
    <x:cfRule type="containsText" dxfId="20" priority="5" operator="containsText" text="无价格"/>
    <x:cfRule type="containsText" dxfId="21" priority="6" operator="containsText" text="待核验"/>
    <x:cfRule type="containsText" dxfId="22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918e0a89db104992"/>
    <x:tablePart xmlns:r="http://schemas.openxmlformats.org/officeDocument/2006/relationships" r:id="Rc594d368dec240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重庆 → 昆明（KMG） TOP10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TOP10 从该路线全集合并后按“含20kg估算总价”升序选取；不是按单日最低价抽样。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COUNTA(A8:A17)</x:f>
        <x:v>10</x:v>
      </x:c>
      <x:c r="C3" s="68"/>
      <x:c r="D3" s="68" t="str">
        <x:v>覆盖日期组合</x:v>
      </x:c>
      <x:c r="E3" s="68" t="str">
        <x:v>14/14</x:v>
      </x:c>
      <x:c r="F3" s="68"/>
      <x:c r="G3" s="68" t="str">
        <x:v>最低含行李价</x:v>
      </x:c>
      <x:c r="H3" s="69" t="n">
        <x:f>MIN(O8:O17)</x:f>
        <x:v>1113</x:v>
      </x:c>
      <x:c r="I3" s="68"/>
      <x:c r="J3" s="68" t="str">
        <x:v>最高合格价</x:v>
      </x:c>
      <x:c r="K3" s="69" t="n">
        <x:f>MAX(O8:O17)</x:f>
        <x:v>1462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46299</x:v>
      </x:c>
      <x:c r="C8" s="78" t="n">
        <x:v>46303</x:v>
      </x:c>
      <x:c r="D8" s="79" t="n">
        <x:v>4</x:v>
      </x:c>
      <x:c r="E8" s="80" t="str">
        <x:v>川航</x:v>
      </x:c>
      <x:c r="F8" s="80" t="str">
        <x:v>15:30</x:v>
      </x:c>
      <x:c r="G8" s="80" t="str">
        <x:v>16:55</x:v>
      </x:c>
      <x:c r="H8" s="80" t="str">
        <x:v>重庆江北国际机场</x:v>
      </x:c>
      <x:c r="I8" s="80" t="str">
        <x:v>昆明长水国际机场</x:v>
      </x:c>
      <x:c r="J8" s="80" t="n">
        <x:v>0</x:v>
      </x:c>
      <x:c r="K8" s="80" t="str">
        <x:v>—</x:v>
      </x:c>
      <x:c r="L8" s="80" t="str">
        <x:v>1 小时 25 分钟</x:v>
      </x:c>
      <x:c r="M8" s="81" t="n">
        <x:v>1113</x:v>
      </x:c>
      <x:c r="N8" s="81" t="n">
        <x:v>0</x:v>
      </x:c>
      <x:c r="O8" s="81" t="n">
        <x:f>M8+N8</x:f>
        <x:v>1113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46267.746032905095</x:v>
      </x:c>
      <x:c r="T8" s="84" t="str">
        <x:v>https://www.google.com/travel/flights?hl=zh-CN&amp;curr=CNY&amp;q=Flights%20from%20Chongqing%20to%20Kunming%20from%202026-10-04%20to%202026-10-08</x:v>
      </x:c>
      <x:c r="U8" s="133" t="n">
        <x:v>46303</x:v>
      </x:c>
      <x:c r="V8" s="82" t="str">
        <x:v>06:50</x:v>
      </x:c>
      <x:c r="W8" s="82" t="str">
        <x:v>昆明长水国际机场</x:v>
      </x:c>
      <x:c r="X8" s="134" t="n">
        <x:v>46303</x:v>
      </x:c>
      <x:c r="Y8" s="82" t="str">
        <x:v>08:25</x:v>
      </x:c>
      <x:c r="Z8" s="82" t="str">
        <x:v>重庆江北国际机场</x:v>
      </x:c>
      <x:c r="AA8" s="82" t="str">
        <x:v>川航</x:v>
      </x:c>
      <x:c r="AB8" s="82" t="n">
        <x:v>0</x:v>
      </x:c>
      <x:c r="AC8" s="82" t="str">
        <x:v>1 小时 35 分钟</x:v>
      </x:c>
      <x:c r="AD8" s="135"/>
      <x:c r="AE8" s="82" t="str">
        <x:v>当前返程列表无价格，采用排序第一条</x:v>
      </x:c>
      <x:c r="AF8" s="84" t="str">
        <x:v>https://www.google.com/travel/flights/search?tfs=CBwQAhpMEgoyMDI2LTEwLTA0IiAKA0NLRxIKMjAyNi0xMC0wNBoDS01HKgIzVTIEODI4NGoNCAISCS9tLzAxNzIzNnINCAISCS9tLzAxYzA2ZBoqEgoyMDI2LTEwLTA4ag0IAhIJL20vMDFjMDZkcg0IAhIJL20vMDE3MjM2QAFIAXABggELCP___________wGYAQE&amp;tfu=CmxDalJJUlROeFMwUnNXWFJRZEUxQlJWVTBhSGRDUnkwdExTMHRMWE50Y0hReE5DMXVNVUZCUVVGQlIzRlpSRU13U25BdGJWTkJFZ1l6VlRneU9EUWFDZ2paQ0JBQUdnTkRUbGs0SEhDd2dRRT0SAggAIgMKATA&amp;hl=zh-CN&amp;curr=CNY</x:v>
      </x:c>
    </x:row>
    <x:row r="9" ht="42" customHeight="1">
      <x:c r="A9" s="85" t="n">
        <x:f>ROW()-7</x:f>
        <x:v>2</x:v>
      </x:c>
      <x:c r="B9" s="86" t="n">
        <x:v>46299</x:v>
      </x:c>
      <x:c r="C9" s="86" t="n">
        <x:v>46303</x:v>
      </x:c>
      <x:c r="D9" s="87" t="n">
        <x:v>4</x:v>
      </x:c>
      <x:c r="E9" s="88" t="str">
        <x:v>东航</x:v>
      </x:c>
      <x:c r="F9" s="88" t="str">
        <x:v>06:40</x:v>
      </x:c>
      <x:c r="G9" s="88" t="str">
        <x:v>08:20</x:v>
      </x:c>
      <x:c r="H9" s="88" t="str">
        <x:v>重庆江北国际机场</x:v>
      </x:c>
      <x:c r="I9" s="88" t="str">
        <x:v>昆明长水国际机场</x:v>
      </x:c>
      <x:c r="J9" s="88" t="n">
        <x:v>0</x:v>
      </x:c>
      <x:c r="K9" s="88" t="str">
        <x:v>—</x:v>
      </x:c>
      <x:c r="L9" s="88" t="str">
        <x:v>1 小时 40 分钟</x:v>
      </x:c>
      <x:c r="M9" s="89" t="n">
        <x:v>1189</x:v>
      </x:c>
      <x:c r="N9" s="89" t="n">
        <x:v>0</x:v>
      </x:c>
      <x:c r="O9" s="89" t="n">
        <x:f>M9+N9</x:f>
        <x:v>1189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46267.746032905095</x:v>
      </x:c>
      <x:c r="T9" s="92" t="str">
        <x:v>https://www.google.com/travel/flights?hl=zh-CN&amp;curr=CNY&amp;q=Flights%20from%20Chongqing%20to%20Kunming%20from%202026-10-04%20to%202026-10-08</x:v>
      </x:c>
      <x:c r="U9" s="136" t="n">
        <x:v>46303</x:v>
      </x:c>
      <x:c r="V9" s="90" t="str">
        <x:v>06:50</x:v>
      </x:c>
      <x:c r="W9" s="90" t="str">
        <x:v>昆明长水国际机场</x:v>
      </x:c>
      <x:c r="X9" s="137" t="n">
        <x:v>46303</x:v>
      </x:c>
      <x:c r="Y9" s="90" t="str">
        <x:v>08:25</x:v>
      </x:c>
      <x:c r="Z9" s="90" t="str">
        <x:v>重庆江北国际机场</x:v>
      </x:c>
      <x:c r="AA9" s="90" t="str">
        <x:v>川航</x:v>
      </x:c>
      <x:c r="AB9" s="90" t="n">
        <x:v>0</x:v>
      </x:c>
      <x:c r="AC9" s="90" t="str">
        <x:v>1 小时 35 分钟</x:v>
      </x:c>
      <x:c r="AD9" s="138"/>
      <x:c r="AE9" s="90" t="str">
        <x:v>当前返程列表无价格，采用排序第一条</x:v>
      </x:c>
      <x:c r="AF9" s="92" t="str">
        <x:v>https://www.google.com/travel/flights/search?tfs=CBwQAhpMEgoyMDI2LTEwLTA0IiAKA0NLRxIKMjAyNi0xMC0wNBoDS01HKgJNVTIENTQ0OWoNCAISCS9tLzAxNzIzNnINCAISCS9tLzAxYzA2ZBoqEgoyMDI2LTEwLTA4ag0IAhIJL20vMDFjMDZkcg0IAhIJL20vMDE3MjM2QAFIAXABggELCP___________wGYAQE&amp;tfu=CmxDalJJY2pKUlRVOUphVk5QUmxsQlJIVlBkV2RDUnkwdExTMHRMUzB0TFMxemJXRXhNMEZCUVVGQlIzRlpSRU13UzJsdlJtbEJFZ1pOVlRVME5Ea2FDZ2pxQ3hBQUdnTkRUbGs0SEhEL3J3RT0SAggAIgA&amp;hl=zh-CN&amp;curr=CNY</x:v>
      </x:c>
    </x:row>
    <x:row r="10" ht="42" customHeight="1">
      <x:c r="A10" s="85" t="n">
        <x:f>ROW()-7</x:f>
        <x:v>3</x:v>
      </x:c>
      <x:c r="B10" s="86" t="n">
        <x:v>46299</x:v>
      </x:c>
      <x:c r="C10" s="86" t="n">
        <x:v>46303</x:v>
      </x:c>
      <x:c r="D10" s="87" t="n">
        <x:v>4</x:v>
      </x:c>
      <x:c r="E10" s="88" t="str">
        <x:v>南航</x:v>
      </x:c>
      <x:c r="F10" s="88" t="str">
        <x:v>19:30</x:v>
      </x:c>
      <x:c r="G10" s="88" t="str">
        <x:v>21:00</x:v>
      </x:c>
      <x:c r="H10" s="88" t="str">
        <x:v>重庆江北国际机场</x:v>
      </x:c>
      <x:c r="I10" s="88" t="str">
        <x:v>昆明长水国际机场</x:v>
      </x:c>
      <x:c r="J10" s="88" t="n">
        <x:v>0</x:v>
      </x:c>
      <x:c r="K10" s="88" t="str">
        <x:v>—</x:v>
      </x:c>
      <x:c r="L10" s="88" t="str">
        <x:v>1 小时 30 分钟</x:v>
      </x:c>
      <x:c r="M10" s="89" t="n">
        <x:v>1192</x:v>
      </x:c>
      <x:c r="N10" s="89" t="n">
        <x:v>0</x:v>
      </x:c>
      <x:c r="O10" s="89" t="n">
        <x:f>M10+N10</x:f>
        <x:v>1192</x:v>
      </x:c>
      <x:c r="P10" s="88" t="str">
        <x:f>IF(O10&lt;5000,"是","否")</x:f>
        <x:v>是</x:v>
      </x:c>
      <x:c r="Q10" s="90" t="str">
        <x:v>国内经济舱通常含20kg；出票前须按实际票价等级复核</x:v>
      </x:c>
      <x:c r="R10" s="90" t="str">
        <x:v>该去程对应的最低可订返程组合；具体返程航班需打开来源链接确认</x:v>
      </x:c>
      <x:c r="S10" s="91" t="n">
        <x:v>46267.746032905095</x:v>
      </x:c>
      <x:c r="T10" s="92" t="str">
        <x:v>https://www.google.com/travel/flights?hl=zh-CN&amp;curr=CNY&amp;q=Flights%20from%20Chongqing%20to%20Kunming%20from%202026-10-04%20to%202026-10-08</x:v>
      </x:c>
      <x:c r="U10" s="136" t="n">
        <x:v>46303</x:v>
      </x:c>
      <x:c r="V10" s="90" t="str">
        <x:v>22:05</x:v>
      </x:c>
      <x:c r="W10" s="90" t="str">
        <x:v>昆明长水国际机场</x:v>
      </x:c>
      <x:c r="X10" s="137" t="n">
        <x:v>46303</x:v>
      </x:c>
      <x:c r="Y10" s="90" t="str">
        <x:v>23:50</x:v>
      </x:c>
      <x:c r="Z10" s="90" t="str">
        <x:v>重庆江北国际机场</x:v>
      </x:c>
      <x:c r="AA10" s="90" t="str">
        <x:v>重航</x:v>
      </x:c>
      <x:c r="AB10" s="90" t="n">
        <x:v>0</x:v>
      </x:c>
      <x:c r="AC10" s="90" t="str">
        <x:v>1 小时 45 分钟</x:v>
      </x:c>
      <x:c r="AD10" s="138"/>
      <x:c r="AE10" s="90" t="str">
        <x:v>当前返程列表无价格，采用排序第一条</x:v>
      </x:c>
      <x:c r="AF10" s="92" t="str">
        <x:v>https://www.google.com/travel/flights/search?tfs=CBwQAhpMEgoyMDI2LTEwLTA0IiAKA0NLRxIKMjAyNi0xMC0wNBoDS01HKgJPUTIEMjExOWoNCAISCS9tLzAxNzIzNnINCAISCS9tLzAxYzA2ZBoqEgoyMDI2LTEwLTA4ag0IAhIJL20vMDFjMDZkcg0IAhIJL20vMDE3MjM2QAFIAXABggELCP___________wGYAQE&amp;tfu=ClhDalJJTlU4M1RFRndjM05IY25OQlJsY3daVUZDUnkwdExTMHRMUzB0TFhOdFltUm5ORUZCUVVGQlIzRlpSRU52VEVoZk0zZEJFZ1pQVVRJeE1UazRIUT09EgIIACIA&amp;hl=zh-CN&amp;curr=CNY</x:v>
      </x:c>
    </x:row>
    <x:row r="11" ht="42" customHeight="1">
      <x:c r="A11" s="85" t="n">
        <x:f>ROW()-7</x:f>
        <x:v>4</x:v>
      </x:c>
      <x:c r="B11" s="86" t="n">
        <x:v>46300</x:v>
      </x:c>
      <x:c r="C11" s="86" t="n">
        <x:v>46304</x:v>
      </x:c>
      <x:c r="D11" s="87" t="n">
        <x:v>4</x:v>
      </x:c>
      <x:c r="E11" s="88" t="str">
        <x:v>东航</x:v>
      </x:c>
      <x:c r="F11" s="88" t="str">
        <x:v>06:40</x:v>
      </x:c>
      <x:c r="G11" s="88" t="str">
        <x:v>08:20</x:v>
      </x:c>
      <x:c r="H11" s="88" t="str">
        <x:v>重庆江北国际机场</x:v>
      </x:c>
      <x:c r="I11" s="88" t="str">
        <x:v>昆明长水国际机场</x:v>
      </x:c>
      <x:c r="J11" s="88" t="n">
        <x:v>0</x:v>
      </x:c>
      <x:c r="K11" s="88" t="str">
        <x:v>—</x:v>
      </x:c>
      <x:c r="L11" s="88" t="str">
        <x:v>1 小时 40 分钟</x:v>
      </x:c>
      <x:c r="M11" s="89" t="n">
        <x:v>1214</x:v>
      </x:c>
      <x:c r="N11" s="89" t="n">
        <x:v>0</x:v>
      </x:c>
      <x:c r="O11" s="89" t="n">
        <x:f>M11+N11</x:f>
        <x:v>1214</x:v>
      </x:c>
      <x:c r="P11" s="88" t="str">
        <x:f>IF(O11&lt;5000,"是","否")</x:f>
        <x:v>是</x:v>
      </x:c>
      <x:c r="Q11" s="90" t="str">
        <x:v>国内经济舱通常含20kg；出票前须按实际票价等级复核</x:v>
      </x:c>
      <x:c r="R11" s="90" t="str">
        <x:v>该去程对应的最低可订返程组合；具体返程航班需打开来源链接确认</x:v>
      </x:c>
      <x:c r="S11" s="91" t="n">
        <x:v>46267.746032905095</x:v>
      </x:c>
      <x:c r="T11" s="92" t="str">
        <x:v>https://www.google.com/travel/flights?hl=zh-CN&amp;curr=CNY&amp;q=Flights%20from%20Chongqing%20to%20Kunming%20from%202026-10-05%20to%202026-10-09</x:v>
      </x:c>
      <x:c r="U11" s="136" t="n">
        <x:v>46304</x:v>
      </x:c>
      <x:c r="V11" s="90" t="str">
        <x:v>07:05</x:v>
      </x:c>
      <x:c r="W11" s="90" t="str">
        <x:v>昆明长水国际机场</x:v>
      </x:c>
      <x:c r="X11" s="137" t="n">
        <x:v>46304</x:v>
      </x:c>
      <x:c r="Y11" s="90" t="str">
        <x:v>08:35</x:v>
      </x:c>
      <x:c r="Z11" s="90" t="str">
        <x:v>重庆江北国际机场</x:v>
      </x:c>
      <x:c r="AA11" s="90" t="str">
        <x:v>川航</x:v>
      </x:c>
      <x:c r="AB11" s="90" t="n">
        <x:v>0</x:v>
      </x:c>
      <x:c r="AC11" s="90" t="str">
        <x:v>1 小时 30 分钟</x:v>
      </x:c>
      <x:c r="AD11" s="138"/>
      <x:c r="AE11" s="90" t="str">
        <x:v>当前返程列表无价格，采用排序第一条</x:v>
      </x:c>
      <x:c r="AF11" s="92" t="str">
        <x:v>https://www.google.com/travel/flights/search?tfs=CBwQAhpMEgoyMDI2LTEwLTA1IiAKA0NLRxIKMjAyNi0xMC0wNRoDS01HKgJNVTIENTQ0OWoNCAISCS9tLzAxNzIzNnINCAISCS9tLzAxYzA2ZBoqEgoyMDI2LTEwLTA5ag0IAhIJL20vMDFjMDZkcg0IAhIJL20vMDE3MjM2QAFIAXABggELCP___________wGYAQE&amp;tfu=CmxDalJJVEVWeVNtOXViVTh0ZVZGQlJXOWhNMmRDUnkwdExTMHRMUzB0TFMxelpXTmpPVUZCUVVGQlIzRlpSRU4zVEMxNVQwRkJFZ1pOVlRVME5Ea2FDZ2krQ1JBQUdnTkRUbGs0SEhDUGpRRT0SAggAIgA&amp;hl=zh-CN&amp;curr=CNY</x:v>
      </x:c>
    </x:row>
    <x:row r="12" ht="42" customHeight="1">
      <x:c r="A12" s="85" t="n">
        <x:f>ROW()-7</x:f>
        <x:v>5</x:v>
      </x:c>
      <x:c r="B12" s="86" t="n">
        <x:v>46297</x:v>
      </x:c>
      <x:c r="C12" s="86" t="n">
        <x:v>46304</x:v>
      </x:c>
      <x:c r="D12" s="87" t="n">
        <x:v>7</x:v>
      </x:c>
      <x:c r="E12" s="88" t="str">
        <x:v>川航</x:v>
      </x:c>
      <x:c r="F12" s="88" t="str">
        <x:v>15:30</x:v>
      </x:c>
      <x:c r="G12" s="88" t="str">
        <x:v>16:55</x:v>
      </x:c>
      <x:c r="H12" s="88" t="str">
        <x:v>重庆江北国际机场</x:v>
      </x:c>
      <x:c r="I12" s="88" t="str">
        <x:v>昆明长水国际机场</x:v>
      </x:c>
      <x:c r="J12" s="88" t="n">
        <x:v>0</x:v>
      </x:c>
      <x:c r="K12" s="88" t="str">
        <x:v>—</x:v>
      </x:c>
      <x:c r="L12" s="88" t="str">
        <x:v>1 小时 25 分钟</x:v>
      </x:c>
      <x:c r="M12" s="89" t="n">
        <x:v>1235</x:v>
      </x:c>
      <x:c r="N12" s="89" t="n">
        <x:v>0</x:v>
      </x:c>
      <x:c r="O12" s="89" t="n">
        <x:f>M12+N12</x:f>
        <x:v>1235</x:v>
      </x:c>
      <x:c r="P12" s="88" t="str">
        <x:f>IF(O12&lt;5000,"是","否")</x:f>
        <x:v>是</x:v>
      </x:c>
      <x:c r="Q12" s="90" t="str">
        <x:v>国内经济舱通常含20kg；出票前须按实际票价等级复核</x:v>
      </x:c>
      <x:c r="R12" s="90" t="str">
        <x:v>该去程对应的最低可订返程组合；具体返程航班需打开来源链接确认</x:v>
      </x:c>
      <x:c r="S12" s="91" t="n">
        <x:v>46267.746032905095</x:v>
      </x:c>
      <x:c r="T12" s="92" t="str">
        <x:v>https://www.google.com/travel/flights?hl=zh-CN&amp;curr=CNY&amp;q=Flights%20from%20Chongqing%20to%20Kunming%20from%202026-10-02%20to%202026-10-09</x:v>
      </x:c>
      <x:c r="U12" s="136" t="n">
        <x:v>46304</x:v>
      </x:c>
      <x:c r="V12" s="90" t="str">
        <x:v>07:05</x:v>
      </x:c>
      <x:c r="W12" s="90" t="str">
        <x:v>昆明长水国际机场</x:v>
      </x:c>
      <x:c r="X12" s="137" t="n">
        <x:v>46304</x:v>
      </x:c>
      <x:c r="Y12" s="90" t="str">
        <x:v>08:35</x:v>
      </x:c>
      <x:c r="Z12" s="90" t="str">
        <x:v>重庆江北国际机场</x:v>
      </x:c>
      <x:c r="AA12" s="90" t="str">
        <x:v>川航</x:v>
      </x:c>
      <x:c r="AB12" s="90" t="n">
        <x:v>0</x:v>
      </x:c>
      <x:c r="AC12" s="90" t="str">
        <x:v>1 小时 30 分钟</x:v>
      </x:c>
      <x:c r="AD12" s="138"/>
      <x:c r="AE12" s="90" t="str">
        <x:v>当前返程列表无价格，采用排序第一条</x:v>
      </x:c>
      <x:c r="AF12" s="92" t="str">
        <x:v>https://www.google.com/travel/flights/search?tfs=CBwQAhpMEgoyMDI2LTEwLTAyIiAKA0NLRxIKMjAyNi0xMC0wMhoDS01HKgIzVTIEODI4NGoNCAISCS9tLzAxNzIzNnINCAISCS9tLzAxYzA2ZBoqEgoyMDI2LTEwLTA5ag0IAhIJL20vMDFjMDZkcg0IAhIJL20vMDE3MjM2QAFIAXABggELCP___________wGYAQE&amp;tfu=ClhDalJJVEVWeVNtOXViVTh0ZVZGQlJXOWxlWGRDUnkwdExTMHRMUzB0TFMxelpXTmpPVUZCUVVGQlIzRlpSRVJqUlVsaFprVkJFZ1l6VlRneU9EUTRIQT09EgYIACACKAEiAwoBMA&amp;hl=zh-CN&amp;curr=CNY</x:v>
      </x:c>
    </x:row>
    <x:row r="13" ht="42" customHeight="1">
      <x:c r="A13" s="85" t="n">
        <x:f>ROW()-7</x:f>
        <x:v>6</x:v>
      </x:c>
      <x:c r="B13" s="86" t="n">
        <x:v>46300</x:v>
      </x:c>
      <x:c r="C13" s="86" t="n">
        <x:v>46304</x:v>
      </x:c>
      <x:c r="D13" s="87" t="n">
        <x:v>4</x:v>
      </x:c>
      <x:c r="E13" s="88" t="str">
        <x:v>东航</x:v>
      </x:c>
      <x:c r="F13" s="88" t="str">
        <x:v>10:50</x:v>
      </x:c>
      <x:c r="G13" s="88" t="str">
        <x:v>12:25</x:v>
      </x:c>
      <x:c r="H13" s="88" t="str">
        <x:v>重庆江北国际机场</x:v>
      </x:c>
      <x:c r="I13" s="88" t="str">
        <x:v>昆明长水国际机场</x:v>
      </x:c>
      <x:c r="J13" s="88" t="n">
        <x:v>0</x:v>
      </x:c>
      <x:c r="K13" s="88" t="str">
        <x:v>—</x:v>
      </x:c>
      <x:c r="L13" s="88" t="str">
        <x:v>1 小时 35 分钟</x:v>
      </x:c>
      <x:c r="M13" s="89" t="n">
        <x:v>1261</x:v>
      </x:c>
      <x:c r="N13" s="89" t="n">
        <x:v>0</x:v>
      </x:c>
      <x:c r="O13" s="89" t="n">
        <x:f>M13+N13</x:f>
        <x:v>1261</x:v>
      </x:c>
      <x:c r="P13" s="88" t="str">
        <x:f>IF(O13&lt;5000,"是","否")</x:f>
        <x:v>是</x:v>
      </x:c>
      <x:c r="Q13" s="90" t="str">
        <x:v>国内经济舱通常含20kg；出票前须按实际票价等级复核</x:v>
      </x:c>
      <x:c r="R13" s="90" t="str">
        <x:v>该去程对应的最低可订返程组合；具体返程航班需打开来源链接确认</x:v>
      </x:c>
      <x:c r="S13" s="91" t="n">
        <x:v>46267.746032905095</x:v>
      </x:c>
      <x:c r="T13" s="92" t="str">
        <x:v>https://www.google.com/travel/flights?hl=zh-CN&amp;curr=CNY&amp;q=Flights%20from%20Chongqing%20to%20Kunming%20from%202026-10-05%20to%202026-10-09</x:v>
      </x:c>
      <x:c r="U13" s="136" t="n">
        <x:v>46304</x:v>
      </x:c>
      <x:c r="V13" s="90" t="str">
        <x:v>08:05</x:v>
      </x:c>
      <x:c r="W13" s="90" t="str">
        <x:v>昆明长水国际机场</x:v>
      </x:c>
      <x:c r="X13" s="137" t="n">
        <x:v>46304</x:v>
      </x:c>
      <x:c r="Y13" s="90" t="str">
        <x:v>09:35</x:v>
      </x:c>
      <x:c r="Z13" s="90" t="str">
        <x:v>重庆江北国际机场</x:v>
      </x:c>
      <x:c r="AA13" s="90" t="str">
        <x:v>东航</x:v>
      </x:c>
      <x:c r="AB13" s="90" t="n">
        <x:v>0</x:v>
      </x:c>
      <x:c r="AC13" s="90" t="str">
        <x:v>1 小时 30 分钟</x:v>
      </x:c>
      <x:c r="AD13" s="138" t="n">
        <x:v>1261</x:v>
      </x:c>
      <x:c r="AE13" s="90" t="str">
        <x:v>匹配原始往返起价</x:v>
      </x:c>
      <x:c r="AF13" s="92" t="str">
        <x:v>https://www.google.com/travel/flights/search?tfs=CBwQAhpMEgoyMDI2LTEwLTA1IiAKA0NLRxIKMjAyNi0xMC0wNRoDS01HKgJNVTIENTg2NmoNCAISCS9tLzAxNzIzNnINCAISCS9tLzAxYzA2ZBoqEgoyMDI2LTEwLTA5ag0IAhIJL20vMDFjMDZkcg0IAhIJL20vMDE3MjM2QAFIAXABggELCP___________wGYAQE&amp;tfu=CmxDalJJUlROeFMwUnNXWFJRZEUxQlJWVTNNRkZDUnkwdExTMHRMWE50Y0hReE5DMXVNVUZCUVVGQlIzRlpSRVJaUmpacFdWTkJFZ1pOVlRVNE5qWWFDZ2p0Q1JBQUdnTkRUbGs0SEhETGtnRT0SAggAIgA&amp;hl=zh-CN&amp;curr=CNY</x:v>
      </x:c>
    </x:row>
    <x:row r="14" ht="42" customHeight="1">
      <x:c r="A14" s="85" t="n">
        <x:f>ROW()-7</x:f>
        <x:v>7</x:v>
      </x:c>
      <x:c r="B14" s="86" t="n">
        <x:v>46299</x:v>
      </x:c>
      <x:c r="C14" s="86" t="n">
        <x:v>46303</x:v>
      </x:c>
      <x:c r="D14" s="87" t="n">
        <x:v>4</x:v>
      </x:c>
      <x:c r="E14" s="88" t="str">
        <x:v>东航</x:v>
      </x:c>
      <x:c r="F14" s="88" t="str">
        <x:v>10:50</x:v>
      </x:c>
      <x:c r="G14" s="88" t="str">
        <x:v>12:25</x:v>
      </x:c>
      <x:c r="H14" s="88" t="str">
        <x:v>重庆江北国际机场</x:v>
      </x:c>
      <x:c r="I14" s="88" t="str">
        <x:v>昆明长水国际机场</x:v>
      </x:c>
      <x:c r="J14" s="88" t="n">
        <x:v>0</x:v>
      </x:c>
      <x:c r="K14" s="88" t="str">
        <x:v>—</x:v>
      </x:c>
      <x:c r="L14" s="88" t="str">
        <x:v>1 小时 35 分钟</x:v>
      </x:c>
      <x:c r="M14" s="89" t="n">
        <x:v>1290</x:v>
      </x:c>
      <x:c r="N14" s="89" t="n">
        <x:v>0</x:v>
      </x:c>
      <x:c r="O14" s="89" t="n">
        <x:f>M14+N14</x:f>
        <x:v>1290</x:v>
      </x:c>
      <x:c r="P14" s="88" t="str">
        <x:f>IF(O14&lt;5000,"是","否")</x:f>
        <x:v>是</x:v>
      </x:c>
      <x:c r="Q14" s="90" t="str">
        <x:v>国内经济舱通常含20kg；出票前须按实际票价等级复核</x:v>
      </x:c>
      <x:c r="R14" s="90" t="str">
        <x:v>该去程对应的最低可订返程组合；具体返程航班需打开来源链接确认</x:v>
      </x:c>
      <x:c r="S14" s="91" t="n">
        <x:v>46267.746032905095</x:v>
      </x:c>
      <x:c r="T14" s="92" t="str">
        <x:v>https://www.google.com/travel/flights?hl=zh-CN&amp;curr=CNY&amp;q=Flights%20from%20Chongqing%20to%20Kunming%20from%202026-10-04%20to%202026-10-08</x:v>
      </x:c>
      <x:c r="U14" s="136" t="n">
        <x:v>46303</x:v>
      </x:c>
      <x:c r="V14" s="90" t="str">
        <x:v>08:05</x:v>
      </x:c>
      <x:c r="W14" s="90" t="str">
        <x:v>昆明长水国际机场</x:v>
      </x:c>
      <x:c r="X14" s="137" t="n">
        <x:v>46303</x:v>
      </x:c>
      <x:c r="Y14" s="90" t="str">
        <x:v>09:35</x:v>
      </x:c>
      <x:c r="Z14" s="90" t="str">
        <x:v>重庆江北国际机场</x:v>
      </x:c>
      <x:c r="AA14" s="90" t="str">
        <x:v>东航</x:v>
      </x:c>
      <x:c r="AB14" s="90" t="n">
        <x:v>0</x:v>
      </x:c>
      <x:c r="AC14" s="90" t="str">
        <x:v>1 小时 30 分钟</x:v>
      </x:c>
      <x:c r="AD14" s="138" t="n">
        <x:v>1462</x:v>
      </x:c>
      <x:c r="AE14" s="90" t="str">
        <x:v>当前价格已变化，采用当前最低价返程</x:v>
      </x:c>
      <x:c r="AF14" s="92" t="str">
        <x:v>https://www.google.com/travel/flights/search?tfs=CBwQAhpMEgoyMDI2LTEwLTA0IiAKA0NLRxIKMjAyNi0xMC0wNBoDS01HKgJNVTIENTg2NmoNCAISCS9tLzAxNzIzNnINCAISCS9tLzAxYzA2ZBoqEgoyMDI2LTEwLTA4ag0IAhIJL20vMDFjMDZkcg0IAhIJL20vMDE3MjM2QAFIAXABggELCP___________wGYAQE&amp;tfu=CmxDalJJV25VMlpHdHJNMVpPY1ZsQlJDMURlV2RDUnkwdExTMHRMUzF6YlhWa015MXVNa0ZCUVVGQlIzRlpSRVJOVHpSTU9GRkJFZ1pOVlRVNE5qWWFDZ2kyQ3hBQUdnTkRUbGs0SFhENXFRRT0SAggAIgA&amp;hl=zh-CN&amp;curr=CNY</x:v>
      </x:c>
    </x:row>
    <x:row r="15" ht="42" customHeight="1">
      <x:c r="A15" s="85" t="n">
        <x:f>ROW()-7</x:f>
        <x:v>8</x:v>
      </x:c>
      <x:c r="B15" s="86" t="n">
        <x:v>46297</x:v>
      </x:c>
      <x:c r="C15" s="86" t="n">
        <x:v>46304</x:v>
      </x:c>
      <x:c r="D15" s="87" t="n">
        <x:v>7</x:v>
      </x:c>
      <x:c r="E15" s="88" t="str">
        <x:v>东航</x:v>
      </x:c>
      <x:c r="F15" s="88" t="str">
        <x:v>15:30</x:v>
      </x:c>
      <x:c r="G15" s="88" t="str">
        <x:v>17:05</x:v>
      </x:c>
      <x:c r="H15" s="88" t="str">
        <x:v>重庆江北国际机场</x:v>
      </x:c>
      <x:c r="I15" s="88" t="str">
        <x:v>昆明长水国际机场</x:v>
      </x:c>
      <x:c r="J15" s="88" t="n">
        <x:v>0</x:v>
      </x:c>
      <x:c r="K15" s="88" t="str">
        <x:v>—</x:v>
      </x:c>
      <x:c r="L15" s="88" t="str">
        <x:v>1 小时 35 分钟</x:v>
      </x:c>
      <x:c r="M15" s="89" t="n">
        <x:v>1361</x:v>
      </x:c>
      <x:c r="N15" s="89" t="n">
        <x:v>0</x:v>
      </x:c>
      <x:c r="O15" s="89" t="n">
        <x:f>M15+N15</x:f>
        <x:v>1361</x:v>
      </x:c>
      <x:c r="P15" s="88" t="str">
        <x:f>IF(O15&lt;5000,"是","否")</x:f>
        <x:v>是</x:v>
      </x:c>
      <x:c r="Q15" s="90" t="str">
        <x:v>国内经济舱通常含20kg；出票前须按实际票价等级复核</x:v>
      </x:c>
      <x:c r="R15" s="90" t="str">
        <x:v>该去程对应的最低可订返程组合；具体返程航班需打开来源链接确认</x:v>
      </x:c>
      <x:c r="S15" s="91" t="n">
        <x:v>46267.746032905095</x:v>
      </x:c>
      <x:c r="T15" s="92" t="str">
        <x:v>https://www.google.com/travel/flights?hl=zh-CN&amp;curr=CNY&amp;q=Flights%20from%20Chongqing%20to%20Kunming%20from%202026-10-02%20to%202026-10-09</x:v>
      </x:c>
      <x:c r="U15" s="136" t="n">
        <x:v>46304</x:v>
      </x:c>
      <x:c r="V15" s="90" t="str">
        <x:v>07:05</x:v>
      </x:c>
      <x:c r="W15" s="90" t="str">
        <x:v>昆明长水国际机场</x:v>
      </x:c>
      <x:c r="X15" s="137" t="n">
        <x:v>46304</x:v>
      </x:c>
      <x:c r="Y15" s="90" t="str">
        <x:v>08:35</x:v>
      </x:c>
      <x:c r="Z15" s="90" t="str">
        <x:v>重庆江北国际机场</x:v>
      </x:c>
      <x:c r="AA15" s="90" t="str">
        <x:v>川航</x:v>
      </x:c>
      <x:c r="AB15" s="90" t="n">
        <x:v>0</x:v>
      </x:c>
      <x:c r="AC15" s="90" t="str">
        <x:v>1 小时 30 分钟</x:v>
      </x:c>
      <x:c r="AD15" s="138"/>
      <x:c r="AE15" s="90" t="str">
        <x:v>当前返程列表无价格，采用排序第一条</x:v>
      </x:c>
      <x:c r="AF15" s="92" t="str">
        <x:v>https://www.google.com/travel/flights/search?tfs=CBwQAhpMEgoyMDI2LTEwLTAyIiAKA0NLRxIKMjAyNi0xMC0wMhoDS01HKgJNVTIENTg2NGoNCAISCS9tLzAxNzIzNnINCAISCS9tLzAxYzA2ZBoqEgoyMDI2LTEwLTA5ag0IAhIJL20vMDFjMDZkcg0IAhIJL20vMDE3MjM2QAFIAXABggELCP___________wGYAQE&amp;tfu=CmxDalJJUldWVWVrOVRPSFJGVkRCQlJWWmFiSGRDUnkwdExTMHRMUzB0TFhObFoyY3lOMEZCUVVGQlIzRlpSRVJaUzNreWVVZEJFZ1pOVlRVNE5qUWFDZ2pSQ2hBQUdnTkRUbGs0SEhDYW5nRT0SAggAIgA&amp;hl=zh-CN&amp;curr=CNY</x:v>
      </x:c>
    </x:row>
    <x:row r="16" ht="42" customHeight="1">
      <x:c r="A16" s="85" t="n">
        <x:f>ROW()-7</x:f>
        <x:v>9</x:v>
      </x:c>
      <x:c r="B16" s="86" t="n">
        <x:v>46299</x:v>
      </x:c>
      <x:c r="C16" s="86" t="n">
        <x:v>46303</x:v>
      </x:c>
      <x:c r="D16" s="87" t="n">
        <x:v>4</x:v>
      </x:c>
      <x:c r="E16" s="88" t="str">
        <x:v>东航</x:v>
      </x:c>
      <x:c r="F16" s="88" t="str">
        <x:v>15:30</x:v>
      </x:c>
      <x:c r="G16" s="88" t="str">
        <x:v>17:05</x:v>
      </x:c>
      <x:c r="H16" s="88" t="str">
        <x:v>重庆江北国际机场</x:v>
      </x:c>
      <x:c r="I16" s="88" t="str">
        <x:v>昆明长水国际机场</x:v>
      </x:c>
      <x:c r="J16" s="88" t="n">
        <x:v>0</x:v>
      </x:c>
      <x:c r="K16" s="88" t="str">
        <x:v>—</x:v>
      </x:c>
      <x:c r="L16" s="88" t="str">
        <x:v>1 小时 35 分钟</x:v>
      </x:c>
      <x:c r="M16" s="89" t="n">
        <x:v>1361</x:v>
      </x:c>
      <x:c r="N16" s="89" t="n">
        <x:v>0</x:v>
      </x:c>
      <x:c r="O16" s="89" t="n">
        <x:f>M16+N16</x:f>
        <x:v>1361</x:v>
      </x:c>
      <x:c r="P16" s="88" t="str">
        <x:f>IF(O16&lt;5000,"是","否")</x:f>
        <x:v>是</x:v>
      </x:c>
      <x:c r="Q16" s="90" t="str">
        <x:v>国内经济舱通常含20kg；出票前须按实际票价等级复核</x:v>
      </x:c>
      <x:c r="R16" s="90" t="str">
        <x:v>该去程对应的最低可订返程组合；具体返程航班需打开来源链接确认</x:v>
      </x:c>
      <x:c r="S16" s="91" t="n">
        <x:v>46267.746032905095</x:v>
      </x:c>
      <x:c r="T16" s="92" t="str">
        <x:v>https://www.google.com/travel/flights?hl=zh-CN&amp;curr=CNY&amp;q=Flights%20from%20Chongqing%20to%20Kunming%20from%202026-10-04%20to%202026-10-08</x:v>
      </x:c>
      <x:c r="U16" s="136" t="n">
        <x:v>46303</x:v>
      </x:c>
      <x:c r="V16" s="90" t="str">
        <x:v>06:50</x:v>
      </x:c>
      <x:c r="W16" s="90" t="str">
        <x:v>昆明长水国际机场</x:v>
      </x:c>
      <x:c r="X16" s="137" t="n">
        <x:v>46303</x:v>
      </x:c>
      <x:c r="Y16" s="90" t="str">
        <x:v>08:25</x:v>
      </x:c>
      <x:c r="Z16" s="90" t="str">
        <x:v>重庆江北国际机场</x:v>
      </x:c>
      <x:c r="AA16" s="90" t="str">
        <x:v>川航</x:v>
      </x:c>
      <x:c r="AB16" s="90" t="n">
        <x:v>0</x:v>
      </x:c>
      <x:c r="AC16" s="90" t="str">
        <x:v>1 小时 35 分钟</x:v>
      </x:c>
      <x:c r="AD16" s="138"/>
      <x:c r="AE16" s="90" t="str">
        <x:v>当前返程列表无价格，采用排序第一条</x:v>
      </x:c>
      <x:c r="AF16" s="92" t="str">
        <x:v>https://www.google.com/travel/flights/search?tfs=CBwQAhpMEgoyMDI2LTEwLTA0IiAKA0NLRxIKMjAyNi0xMC0wNBoDS01HKgJNVTIENTg2NGoNCAISCS9tLzAxNzIzNnINCAISCS9tLzAxYzA2ZBoqEgoyMDI2LTEwLTA4ag0IAhIJL20vMDFjMDZkcg0IAhIJL20vMDE3MjM2QAFIAXABggELCP___________wGYAQE&amp;tfu=CmxDalJJV25VMlpHdHJNMVpPY1ZsQlJDMUpTRkZDUnkwdExTMHRMUzF6YlhWa015MXVNa0ZCUVVGQlIzRlpSRVZOUWxjNGF6QkJFZ1pOVlRVNE5qUWFDZ2pSQ2hBQUdnTkRUbGs0SEhDYW5nRT0SAggAIgA&amp;hl=zh-CN&amp;curr=CNY</x:v>
      </x:c>
    </x:row>
    <x:row r="17" ht="42" customHeight="1">
      <x:c r="A17" s="93" t="n">
        <x:f>ROW()-7</x:f>
        <x:v>10</x:v>
      </x:c>
      <x:c r="B17" s="94" t="n">
        <x:v>46297</x:v>
      </x:c>
      <x:c r="C17" s="94" t="n">
        <x:v>46304</x:v>
      </x:c>
      <x:c r="D17" s="95" t="n">
        <x:v>7</x:v>
      </x:c>
      <x:c r="E17" s="96" t="str">
        <x:v>东航</x:v>
      </x:c>
      <x:c r="F17" s="96" t="str">
        <x:v>10:50</x:v>
      </x:c>
      <x:c r="G17" s="96" t="str">
        <x:v>12:25</x:v>
      </x:c>
      <x:c r="H17" s="96" t="str">
        <x:v>重庆江北国际机场</x:v>
      </x:c>
      <x:c r="I17" s="96" t="str">
        <x:v>昆明长水国际机场</x:v>
      </x:c>
      <x:c r="J17" s="96" t="n">
        <x:v>0</x:v>
      </x:c>
      <x:c r="K17" s="96" t="str">
        <x:v>—</x:v>
      </x:c>
      <x:c r="L17" s="96" t="str">
        <x:v>1 小时 35 分钟</x:v>
      </x:c>
      <x:c r="M17" s="97" t="n">
        <x:v>1462</x:v>
      </x:c>
      <x:c r="N17" s="97" t="n">
        <x:v>0</x:v>
      </x:c>
      <x:c r="O17" s="97" t="n">
        <x:f>M17+N17</x:f>
        <x:v>1462</x:v>
      </x:c>
      <x:c r="P17" s="96" t="str">
        <x:f>IF(O17&lt;5000,"是","否")</x:f>
        <x:v>是</x:v>
      </x:c>
      <x:c r="Q17" s="98" t="str">
        <x:v>国内经济舱通常含20kg；出票前须按实际票价等级复核</x:v>
      </x:c>
      <x:c r="R17" s="98" t="str">
        <x:v>该去程对应的最低可订返程组合；具体返程航班需打开来源链接确认</x:v>
      </x:c>
      <x:c r="S17" s="99" t="n">
        <x:v>46267.746032905095</x:v>
      </x:c>
      <x:c r="T17" s="100" t="str">
        <x:v>https://www.google.com/travel/flights?hl=zh-CN&amp;curr=CNY&amp;q=Flights%20from%20Chongqing%20to%20Kunming%20from%202026-10-02%20to%202026-10-09</x:v>
      </x:c>
      <x:c r="U17" s="139" t="n">
        <x:v>46304</x:v>
      </x:c>
      <x:c r="V17" s="98" t="str">
        <x:v>07:05</x:v>
      </x:c>
      <x:c r="W17" s="98" t="str">
        <x:v>昆明长水国际机场</x:v>
      </x:c>
      <x:c r="X17" s="140" t="n">
        <x:v>46304</x:v>
      </x:c>
      <x:c r="Y17" s="98" t="str">
        <x:v>08:35</x:v>
      </x:c>
      <x:c r="Z17" s="98" t="str">
        <x:v>重庆江北国际机场</x:v>
      </x:c>
      <x:c r="AA17" s="98" t="str">
        <x:v>川航</x:v>
      </x:c>
      <x:c r="AB17" s="98" t="n">
        <x:v>0</x:v>
      </x:c>
      <x:c r="AC17" s="98" t="str">
        <x:v>1 小时 30 分钟</x:v>
      </x:c>
      <x:c r="AD17" s="141"/>
      <x:c r="AE17" s="98" t="str">
        <x:v>当前返程列表无价格，采用排序第一条</x:v>
      </x:c>
      <x:c r="AF17" s="100" t="str">
        <x:v>https://www.google.com/travel/flights/search?tfs=CBwQAhpMEgoyMDI2LTEwLTAyIiAKA0NLRxIKMjAyNi0xMC0wMhoDS01HKgJNVTIENTg2NmoNCAISCS9tLzAxNzIzNnINCAISCS9tLzAxYzA2ZBoqEgoyMDI2LTEwLTA5ag0IAhIJL20vMDFjMDZkcg0IAhIJL20vMDE3MjM2QAFIAXABggELCP___________wGYAQE&amp;tfu=CmxDalJJUldWVWVrOVRPSFJGVkRCQlJWWmtVa0ZDUnkwdExTMHRMUzB0TFhObFoyY3lOMEZCUVVGQlIzRlpSRVZCUjBsaFRXMUJFZ1pOVlRVNE5qWWFDZ2kyQ3hBQUdnTkRUbGs0SFhENXFRRT0SAggAIgA&amp;hl=zh-CN&amp;curr=CNY</x:v>
      </x:c>
    </x:row>
  </x:sheetData>
  <x:mergeCells>
    <x:mergeCell ref="A1:AF1"/>
    <x:mergeCell ref="A2:AF2"/>
    <x:mergeCell ref="A4:AF4"/>
    <x:mergeCell ref="A5:AF5"/>
  </x:mergeCells>
  <x:conditionalFormatting sqref="O8:O17">
    <x:cfRule type="cellIs" dxfId="6" priority="1" operator="lessThanOrEqual">
      <x:formula>3500</x:formula>
    </x:cfRule>
    <x:cfRule type="cellIs" dxfId="7" priority="2" operator="greaterThanOrEqual">
      <x:formula>4500</x:formula>
    </x:cfRule>
  </x:conditionalFormatting>
  <x:conditionalFormatting sqref="AE8:AE17">
    <x:cfRule type="containsText" dxfId="23" priority="3" operator="containsText" text="匹配原始"/>
    <x:cfRule type="containsText" dxfId="24" priority="4" operator="containsText" text="价格已变化"/>
    <x:cfRule type="containsText" dxfId="25" priority="5" operator="containsText" text="无价格"/>
    <x:cfRule type="containsText" dxfId="26" priority="6" operator="containsText" text="待核验"/>
    <x:cfRule type="containsText" dxfId="27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ab7fd50e06a14ecb"/>
    <x:tablePart xmlns:r="http://schemas.openxmlformats.org/officeDocument/2006/relationships" r:id="R26fcbebeb8cc420d"/>
  </x:tableParts>
</x:worksheet>
</file>