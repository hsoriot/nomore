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6a9081ea5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海全集" sheetId="1" r:id="R6bace765c7ad4b1e"/>
    <x:sheet xmlns:r="http://schemas.openxmlformats.org/officeDocument/2006/relationships" name="上海TOP10" sheetId="2" r:id="R346b54c9bf5549fb"/>
    <x:sheet xmlns:r="http://schemas.openxmlformats.org/officeDocument/2006/relationships" name="重庆全集" sheetId="3" r:id="R9352c3e684f946d4"/>
    <x:sheet xmlns:r="http://schemas.openxmlformats.org/officeDocument/2006/relationships" name="重庆TOP10" sheetId="4" r:id="Rb37d14353e40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yyyy-mm-dd hh:mm"/>
    <x:numFmt numFmtId="202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042"/>
      <x:name val="Carlito"/>
    </x:font>
    <x:font>
      <x:b/>
      <x:sz val="11"/>
      <x:color rgb="FF173042"/>
      <x:name val="Carlito"/>
    </x:font>
    <x:font>
      <x:sz val="11"/>
      <x:color rgb="FF6B4E00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b/>
      <x:sz val="16"/>
      <x:color rgb="FFFFFFFF"/>
      <x:name val="Noto Sans CJK SC"/>
    </x:font>
    <x:font>
      <x:i/>
      <x:sz val="11"/>
      <x:color rgb="FF173042"/>
      <x:name val="Noto Sans CJK SC"/>
    </x:font>
    <x:font>
      <x:b/>
      <x:sz val="11"/>
      <x:color rgb="FF173042"/>
      <x:name val="Noto Sans CJK SC"/>
    </x:font>
    <x:font>
      <x:sz val="11"/>
      <x:name val="Noto Sans CJK SC"/>
    </x:font>
    <x:font>
      <x:sz val="11"/>
      <x:color rgb="FF6B4E00"/>
      <x:name val="Noto Sans CJK SC"/>
    </x:font>
    <x:font>
      <x:sz val="9"/>
      <x:color rgb="FF475569"/>
      <x:name val="Noto Sans CJK SC"/>
    </x:font>
    <x:font>
      <x:b/>
      <x:sz val="11"/>
      <x:color rgb="FFFFFFFF"/>
      <x:name val="Noto Sans CJK SC"/>
    </x:font>
  </x:fonts>
  <x:fills count="13">
    <x:fill>
      <x:patternFill patternType="none"/>
    </x:fill>
    <x:fill>
      <x:patternFill patternType="gray125"/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4F8F7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</x:fills>
  <x:borders count="16">
    <x:border/>
    <x:border>
      <x:left style="thin">
        <x:color rgb="FF0A5E58"/>
      </x:left>
      <x:top style="thin">
        <x:color rgb="FF0A5E58"/>
      </x:top>
      <x:bottom style="thin">
        <x:color rgb="FF0A5E58"/>
      </x:bottom>
    </x:border>
    <x:border>
      <x:top style="thin">
        <x:color rgb="FF0A5E58"/>
      </x:top>
      <x:bottom style="thin">
        <x:color rgb="FF0A5E58"/>
      </x:bottom>
    </x:border>
    <x:border>
      <x:right style="thin">
        <x:color rgb="FF0A5E58"/>
      </x:right>
      <x:top style="thin">
        <x:color rgb="FF0A5E58"/>
      </x:top>
      <x:bottom style="thin">
        <x:color rgb="FF0A5E58"/>
      </x:bottom>
    </x:border>
    <x:border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bottom style="thin">
        <x:color rgb="FFD7E3E0"/>
      </x:bottom>
    </x:border>
    <x:border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top style="thin">
        <x:color rgb="FFD7E3E0"/>
      </x:top>
      <x:bottom style="thin">
        <x:color rgb="FFD7E3E0"/>
      </x:bottom>
    </x:border>
    <x:border>
      <x:right style="thin">
        <x:color rgb="FFD7E3E0"/>
      </x:right>
      <x:top style="thin">
        <x:color rgb="FFD7E3E0"/>
      </x:top>
    </x:border>
    <x:border>
      <x:left style="thin">
        <x:color rgb="FFD7E3E0"/>
      </x:left>
      <x:right style="thin">
        <x:color rgb="FFD7E3E0"/>
      </x:right>
      <x:top style="thin">
        <x:color rgb="FFD7E3E0"/>
      </x:top>
    </x:border>
    <x:border>
      <x:left style="thin">
        <x:color rgb="FFD7E3E0"/>
      </x:left>
      <x:top style="thin">
        <x:color rgb="FFD7E3E0"/>
      </x:top>
    </x:border>
    <x:border>
      <x:left style="thin">
        <x:color rgb="FF0E4B5E"/>
      </x:left>
      <x:top style="thin">
        <x:color rgb="FF0E4B5E"/>
      </x:top>
      <x:bottom style="thin">
        <x:color rgb="FF0E4B5E"/>
      </x:bottom>
    </x:border>
    <x:border>
      <x:top style="thin">
        <x:color rgb="FF0E4B5E"/>
      </x:top>
      <x:bottom style="thin">
        <x:color rgb="FF0E4B5E"/>
      </x:bottom>
    </x:border>
    <x:border>
      <x:right style="thin">
        <x:color rgb="FF0E4B5E"/>
      </x:right>
      <x:top style="thin">
        <x:color rgb="FF0E4B5E"/>
      </x:top>
      <x:bottom style="thin">
        <x:color rgb="FF0E4B5E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0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13" fillId="7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 wrapText="1"/>
    </x:xf>
    <x:xf numFmtId="200" fontId="10" fillId="0" borderId="5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wrapText="1"/>
    </x:xf>
    <x:xf numFmtId="201" fontId="10" fillId="0" borderId="5" xfId="0" applyNumberFormat="1" applyFont="1" applyFill="1" applyBorder="1"/>
    <x:xf numFmtId="0" fontId="10" fillId="0" borderId="6" xfId="0" applyNumberFormat="1" applyFont="1" applyFill="1" applyBorder="1" applyAlignment="1">
      <x:alignment wrapText="0"/>
    </x:xf>
    <x:xf numFmtId="0" fontId="10" fillId="0" borderId="7" xfId="0" applyNumberFormat="1" applyFont="1" applyFill="1" applyBorder="1" applyAlignment="1">
      <x:alignment vertical="center"/>
    </x:xf>
    <x:xf numFmtId="202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 wrapText="1"/>
    </x:xf>
    <x:xf numFmtId="20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wrapText="1"/>
    </x:xf>
    <x:xf numFmtId="201" fontId="10" fillId="0" borderId="8" xfId="0" applyNumberFormat="1" applyFont="1" applyFill="1" applyBorder="1"/>
    <x:xf numFmtId="0" fontId="10" fillId="0" borderId="9" xfId="0" applyNumberFormat="1" applyFont="1" applyFill="1" applyBorder="1" applyAlignment="1">
      <x:alignment wrapText="0"/>
    </x:xf>
    <x:xf numFmtId="0" fontId="10" fillId="0" borderId="10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 wrapText="1"/>
    </x:xf>
    <x:xf numFmtId="200" fontId="10" fillId="0" borderId="11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wrapText="1"/>
    </x:xf>
    <x:xf numFmtId="201" fontId="10" fillId="0" borderId="11" xfId="0" applyNumberFormat="1" applyFont="1" applyFill="1" applyBorder="1"/>
    <x:xf numFmtId="0" fontId="10" fillId="0" borderId="12" xfId="0" applyNumberFormat="1" applyFont="1" applyFill="1" applyBorder="1" applyAlignment="1">
      <x:alignment wrapText="0"/>
    </x:xf>
    <x:xf numFmtId="0" fontId="7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13" xfId="0" applyNumberFormat="1" applyFont="1" applyFill="1" applyBorder="1"/>
    <x:xf numFmtId="0" fontId="13" fillId="12" borderId="14" xfId="0" applyNumberFormat="1" applyFont="1" applyFill="1" applyBorder="1"/>
    <x:xf numFmtId="0" fontId="13" fillId="12" borderId="15" xfId="0" applyNumberFormat="1" applyFont="1" applyFill="1" applyBorder="1"/>
    <x:xf numFmtId="0" fontId="13" fillId="12" borderId="13" xfId="0" applyNumberFormat="1" applyFont="1" applyFill="1" applyBorder="1" applyAlignment="1">
      <x:alignment wrapText="1"/>
    </x:xf>
    <x:xf numFmtId="0" fontId="13" fillId="12" borderId="14" xfId="0" applyNumberFormat="1" applyFont="1" applyFill="1" applyBorder="1" applyAlignment="1">
      <x:alignment wrapText="1"/>
    </x:xf>
    <x:xf numFmtId="0" fontId="13" fillId="12" borderId="15" xfId="0" applyNumberFormat="1" applyFont="1" applyFill="1" applyBorder="1" applyAlignment="1">
      <x:alignment wrapText="1"/>
    </x:xf>
    <x:xf numFmtId="0" fontId="13" fillId="12" borderId="13" xfId="0" applyNumberFormat="1" applyFont="1" applyFill="1" applyBorder="1" applyAlignment="1">
      <x:alignment horizontal="center" wrapText="1"/>
    </x:xf>
    <x:xf numFmtId="0" fontId="13" fillId="12" borderId="14" xfId="0" applyNumberFormat="1" applyFont="1" applyFill="1" applyBorder="1" applyAlignment="1">
      <x:alignment horizontal="center" wrapText="1"/>
    </x:xf>
    <x:xf numFmtId="0" fontId="13" fillId="12" borderId="15" xfId="0" applyNumberFormat="1" applyFont="1" applyFill="1" applyBorder="1" applyAlignment="1">
      <x:alignment horizontal="center" wrapText="1"/>
    </x:xf>
    <x:xf numFmtId="0" fontId="13" fillId="12" borderId="13" xfId="0" applyNumberFormat="1" applyFont="1" applyFill="1" applyBorder="1" applyAlignment="1">
      <x:alignment horizontal="center" vertical="center" wrapText="1"/>
    </x:xf>
    <x:xf numFmtId="0" fontId="13" fillId="12" borderId="14" xfId="0" applyNumberFormat="1" applyFont="1" applyFill="1" applyBorder="1" applyAlignment="1">
      <x:alignment horizontal="center" vertical="center" wrapText="1"/>
    </x:xf>
    <x:xf numFmtId="0" fontId="13" fillId="12" borderId="1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0"/>
    </x:xf>
    <x:xf numFmtId="202" fontId="10" fillId="0" borderId="4" xfId="0" applyNumberFormat="1" applyFont="1" applyFill="1" applyBorder="1" applyAlignment="1">
      <x:alignment wrapText="1"/>
    </x:xf>
    <x:xf numFmtId="202" fontId="10" fillId="0" borderId="5" xfId="0" applyNumberFormat="1" applyFont="1" applyFill="1" applyBorder="1" applyAlignment="1">
      <x:alignment wrapText="1"/>
    </x:xf>
    <x:xf numFmtId="200" fontId="10" fillId="0" borderId="5" xfId="0" applyNumberFormat="1" applyFont="1" applyFill="1" applyBorder="1" applyAlignment="1">
      <x:alignment wrapText="1"/>
    </x:xf>
    <x:xf numFmtId="202" fontId="10" fillId="0" borderId="7" xfId="0" applyNumberFormat="1" applyFont="1" applyFill="1" applyBorder="1" applyAlignment="1">
      <x:alignment wrapText="1"/>
    </x:xf>
    <x:xf numFmtId="202" fontId="10" fillId="0" borderId="8" xfId="0" applyNumberFormat="1" applyFont="1" applyFill="1" applyBorder="1" applyAlignment="1">
      <x:alignment wrapText="1"/>
    </x:xf>
    <x:xf numFmtId="200" fontId="10" fillId="0" borderId="8" xfId="0" applyNumberFormat="1" applyFont="1" applyFill="1" applyBorder="1" applyAlignment="1">
      <x:alignment wrapText="1"/>
    </x:xf>
    <x:xf numFmtId="202" fontId="10" fillId="0" borderId="10" xfId="0" applyNumberFormat="1" applyFont="1" applyFill="1" applyBorder="1" applyAlignment="1">
      <x:alignment wrapText="1"/>
    </x:xf>
    <x:xf numFmtId="202" fontId="10" fillId="0" borderId="11" xfId="0" applyNumberFormat="1" applyFont="1" applyFill="1" applyBorder="1" applyAlignment="1">
      <x:alignment wrapText="1"/>
    </x:xf>
    <x:xf numFmtId="200" fontId="1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94972bfdc4067" /><Relationship Type="http://schemas.openxmlformats.org/officeDocument/2006/relationships/theme" Target="/xl/theme/theme1.xml" Id="R275a8b3553de4578" /><Relationship Type="http://schemas.openxmlformats.org/officeDocument/2006/relationships/sharedStrings" Target="/xl/sharedStrings.xml" Id="Rb5e5daea968d4204" /><Relationship Type="http://schemas.openxmlformats.org/officeDocument/2006/relationships/worksheet" Target="/xl/worksheets/sheet1.xml" Id="R6bace765c7ad4b1e" /><Relationship Type="http://schemas.openxmlformats.org/officeDocument/2006/relationships/worksheet" Target="/xl/worksheets/sheet2.xml" Id="R346b54c9bf5549fb" /><Relationship Type="http://schemas.openxmlformats.org/officeDocument/2006/relationships/worksheet" Target="/xl/worksheets/sheet3.xml" Id="R9352c3e684f946d4" /><Relationship Type="http://schemas.openxmlformats.org/officeDocument/2006/relationships/worksheet" Target="/xl/worksheets/sheet4.xml" Id="Rb37d14353e40403f" /></Relationships>
</file>

<file path=xl/tables/table1.xml><?xml version="1.0" encoding="utf-8"?>
<x:table xmlns:x="http://schemas.openxmlformats.org/spreadsheetml/2006/main" id="1" name="JHG_SHA_All" displayName="JHG_SHA_All" ref="A7:T45" headerRowCount="1" totalsRowCount="0" totalsRowShown="0">
  <x:autoFilter ref="A7:T45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JHG_SHA_All_Return" displayName="JHG_SHA_All_Return" ref="U7:AF45" headerRowCount="1" totalsRowCount="0" totalsRowShown="0">
  <x:autoFilter ref="U7:AF45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JHG_SHA_Top10" displayName="JHG_SHA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JHG_SHA_Top10_Return" displayName="JHG_SHA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JHG_CKG_All" displayName="JHG_CKG_All" ref="A7:T35" headerRowCount="1" totalsRowCount="0" totalsRowShown="0">
  <x:autoFilter ref="A7:T35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JHG_CKG_All_Return" displayName="JHG_CKG_All_Return" ref="U7:AF35" headerRowCount="1" totalsRowCount="0" totalsRowShown="0">
  <x:autoFilter ref="U7:AF35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JHG_CKG_Top10" displayName="JHG_CKG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JHG_CKG_Top10_Return" displayName="JHG_CKG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956d2708b84fee" /><Relationship Type="http://schemas.openxmlformats.org/officeDocument/2006/relationships/table" Target="/xl/tables/table2.xml" Id="R963d0235cd8a47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2b07ad849a74920" /><Relationship Type="http://schemas.openxmlformats.org/officeDocument/2006/relationships/table" Target="/xl/tables/table4.xml" Id="R830b076c50b94b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c578738c281747a7" /><Relationship Type="http://schemas.openxmlformats.org/officeDocument/2006/relationships/table" Target="/xl/tables/table6.xml" Id="R798b8634532e4d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823cd80eb44e448f" /><Relationship Type="http://schemas.openxmlformats.org/officeDocument/2006/relationships/table" Target="/xl/tables/table8.xml" Id="R05cba2b0e2b64b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西双版纳（JHG）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COUNTA(A8:A45)</x:f>
        <x:v>38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MIN(O8:O45)</x:f>
        <x:v>1770</x:v>
      </x:c>
      <x:c r="I3" s="68"/>
      <x:c r="J3" s="68" t="str">
        <x:v>最高合格价</x:v>
      </x:c>
      <x:c r="K3" s="69" t="n">
        <x:f>MAX(O8:O45)</x:f>
        <x:v>4890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46300</x:v>
      </x:c>
      <x:c r="C8" s="78" t="n">
        <x:v>46304</x:v>
      </x:c>
      <x:c r="D8" s="79" t="n">
        <x:v>4</x:v>
      </x:c>
      <x:c r="E8" s="80" t="str">
        <x:v>春航</x:v>
      </x:c>
      <x:c r="F8" s="80" t="str">
        <x:v>19:10</x:v>
      </x:c>
      <x:c r="G8" s="80" t="str">
        <x:v>23:00</x:v>
      </x:c>
      <x:c r="H8" s="80" t="str">
        <x:v>上海浦东国际机场</x:v>
      </x:c>
      <x:c r="I8" s="80" t="str">
        <x:v>西双版纳嘎洒国际机场</x:v>
      </x:c>
      <x:c r="J8" s="80" t="n">
        <x:v>0</x:v>
      </x:c>
      <x:c r="K8" s="80" t="str">
        <x:v>—</x:v>
      </x:c>
      <x:c r="L8" s="80" t="str">
        <x:v>3 小时 50 分钟</x:v>
      </x:c>
      <x:c r="M8" s="81" t="n">
        <x:v>1420</x:v>
      </x:c>
      <x:c r="N8" s="81" t="n">
        <x:v>350</x:v>
      </x:c>
      <x:c r="O8" s="81" t="n">
        <x:f>M8+N8</x:f>
        <x:v>1770</x:v>
      </x:c>
      <x:c r="P8" s="80" t="str">
        <x:f>IF(O8&lt;5000,"是","否")</x:f>
        <x:v>是</x:v>
      </x:c>
      <x:c r="Q8" s="82" t="str">
        <x:v>春秋低价票可能不含托运；按国内往返20kg保守预留¥350</x:v>
      </x:c>
      <x:c r="R8" s="82" t="str">
        <x:v>该去程对应的最低可订返程组合；具体返程航班需打开来源链接确认</x:v>
      </x:c>
      <x:c r="S8" s="83" t="n">
        <x:v>46267.74779550926</x:v>
      </x:c>
      <x:c r="T8" s="84" t="str">
        <x:v>https://www.google.com/travel/flights?hl=zh-CN&amp;curr=CNY&amp;q=Flights%20from%20Shanghai%20to%20JHG%20from%202026-10-05%20to%202026-10-09</x:v>
      </x:c>
      <x:c r="U8" s="133" t="n">
        <x:v>46304</x:v>
      </x:c>
      <x:c r="V8" s="82" t="str">
        <x:v>08:00</x:v>
      </x:c>
      <x:c r="W8" s="82" t="str">
        <x:v>西双版纳嘎洒国际机场</x:v>
      </x:c>
      <x:c r="X8" s="134" t="n">
        <x:v>46304</x:v>
      </x:c>
      <x:c r="Y8" s="82" t="str">
        <x:v>11:40</x:v>
      </x:c>
      <x:c r="Z8" s="82" t="str">
        <x:v>上海浦东国际机场</x:v>
      </x:c>
      <x:c r="AA8" s="82" t="str">
        <x:v>春航</x:v>
      </x:c>
      <x:c r="AB8" s="82" t="n">
        <x:v>0</x:v>
      </x:c>
      <x:c r="AC8" s="82" t="str">
        <x:v>3 小时 40 分钟</x:v>
      </x:c>
      <x:c r="AD8" s="135" t="n">
        <x:v>1420</x:v>
      </x:c>
      <x:c r="AE8" s="82" t="str">
        <x:v>匹配原始往返起价</x:v>
      </x:c>
      <x:c r="AF8" s="84" t="str">
        <x:v>https://www.google.com/travel/flights/search?tfs=CBwQAhpFEgoyMDI2LTEwLTA1IiAKA1BWRxIKMjAyNi0xMC0wNRoDSkhHKgI5QzIENzYwN2oMCAISCC9tLzA2d2pmcgcIARIDSkhHGiMSCjIwMjYtMTAtMDlqBwgBEgNKSEdyDAgCEggvbS8wNndqZkABSAFwAYIBCwj___________8BmAEB&amp;tfu=CmxDalJJUjJOcVVEZzBWMGRIYlVWQlJYTnRUa0ZDUnkwdExTMHRMUzB0YzJWaVluVXpOVUZCUVVGQlIzRlpSREE0U2pOVVZXZEJFZ1k1UXpjMk1EY2FDZ2lNQ3hBQUdnTkRUbGs0SFhDSXBRRT0SAggAIgA&amp;hl=zh-CN&amp;curr=CNY</x:v>
      </x:c>
    </x:row>
    <x:row r="9" ht="42" customHeight="1">
      <x:c r="A9" s="85" t="n">
        <x:f>ROW()-7</x:f>
        <x:v>2</x:v>
      </x:c>
      <x:c r="B9" s="86" t="n">
        <x:v>46300</x:v>
      </x:c>
      <x:c r="C9" s="86" t="n">
        <x:v>46304</x:v>
      </x:c>
      <x:c r="D9" s="87" t="n">
        <x:v>4</x:v>
      </x:c>
      <x:c r="E9" s="88" t="str">
        <x:v>春航</x:v>
      </x:c>
      <x:c r="F9" s="88" t="str">
        <x:v>06:00</x:v>
      </x:c>
      <x:c r="G9" s="88" t="str">
        <x:v>10:00</x:v>
      </x:c>
      <x:c r="H9" s="88" t="str">
        <x:v>上海浦东国际机场</x:v>
      </x:c>
      <x:c r="I9" s="88" t="str">
        <x:v>西双版纳嘎洒国际机场</x:v>
      </x:c>
      <x:c r="J9" s="88" t="n">
        <x:v>0</x:v>
      </x:c>
      <x:c r="K9" s="88" t="str">
        <x:v>—</x:v>
      </x:c>
      <x:c r="L9" s="88" t="str">
        <x:v>4 小时</x:v>
      </x:c>
      <x:c r="M9" s="89" t="n">
        <x:v>1530</x:v>
      </x:c>
      <x:c r="N9" s="89" t="n">
        <x:v>350</x:v>
      </x:c>
      <x:c r="O9" s="89" t="n">
        <x:f>M9+N9</x:f>
        <x:v>1880</x:v>
      </x:c>
      <x:c r="P9" s="88" t="str">
        <x:f>IF(O9&lt;5000,"是","否")</x:f>
        <x:v>是</x:v>
      </x:c>
      <x:c r="Q9" s="90" t="str">
        <x:v>春秋低价票可能不含托运；按国内往返20kg保守预留¥350</x:v>
      </x:c>
      <x:c r="R9" s="90" t="str">
        <x:v>该去程对应的最低可订返程组合；具体返程航班需打开来源链接确认</x:v>
      </x:c>
      <x:c r="S9" s="91" t="n">
        <x:v>46267.74779550926</x:v>
      </x:c>
      <x:c r="T9" s="92" t="str">
        <x:v>https://www.google.com/travel/flights?hl=zh-CN&amp;curr=CNY&amp;q=Flights%20from%20Shanghai%20to%20JHG%20from%202026-10-05%20to%202026-10-09</x:v>
      </x:c>
      <x:c r="U9" s="136" t="n">
        <x:v>46304</x:v>
      </x:c>
      <x:c r="V9" s="90" t="str">
        <x:v>08:00</x:v>
      </x:c>
      <x:c r="W9" s="90" t="str">
        <x:v>西双版纳嘎洒国际机场</x:v>
      </x:c>
      <x:c r="X9" s="137" t="n">
        <x:v>46304</x:v>
      </x:c>
      <x:c r="Y9" s="90" t="str">
        <x:v>11:40</x:v>
      </x:c>
      <x:c r="Z9" s="90" t="str">
        <x:v>上海浦东国际机场</x:v>
      </x:c>
      <x:c r="AA9" s="90" t="str">
        <x:v>春航</x:v>
      </x:c>
      <x:c r="AB9" s="90" t="n">
        <x:v>0</x:v>
      </x:c>
      <x:c r="AC9" s="90" t="str">
        <x:v>3 小时 40 分钟</x:v>
      </x:c>
      <x:c r="AD9" s="138" t="n">
        <x:v>1530</x:v>
      </x:c>
      <x:c r="AE9" s="90" t="str">
        <x:v>匹配原始往返起价</x:v>
      </x:c>
      <x:c r="AF9" s="92" t="str">
        <x:v>https://www.google.com/travel/flights/search?tfs=CBwQAhpFEgoyMDI2LTEwLTA1IiAKA1BWRxIKMjAyNi0xMC0wNRoDSkhHKgI5QzIENjQ0OWoMCAISCC9tLzA2d2pmcgcIARIDSkhHGiMSCjIwMjYtMTAtMDlqBwgBEgNKSEdyDAgCEggvbS8wNndqZkABSAFwAYIBCwj___________8BmAEB&amp;tfu=CmxDalJJYjBKcmNXbDVMVVZwVWtGQlJIbG1OV2RDUnkwdExTMHRMUzB0TFhOdGNHUXlNVUZCUVVGQlIzRlpSREZCUW1SblFXdEJFZ1k1UXpZME5Ea2FDZ2o2Q3hBQUdnTkRUbGs0SFhEdHNRRT0SAggAIgA&amp;hl=zh-CN&amp;curr=CNY</x:v>
      </x:c>
    </x:row>
    <x:row r="10" ht="42" customHeight="1">
      <x:c r="A10" s="85" t="n">
        <x:f>ROW()-7</x:f>
        <x:v>3</x:v>
      </x:c>
      <x:c r="B10" s="86" t="n">
        <x:v>46299</x:v>
      </x:c>
      <x:c r="C10" s="86" t="n">
        <x:v>46304</x:v>
      </x:c>
      <x:c r="D10" s="87" t="n">
        <x:v>5</x:v>
      </x:c>
      <x:c r="E10" s="88" t="str">
        <x:v>春航</x:v>
      </x:c>
      <x:c r="F10" s="88" t="str">
        <x:v>19:10</x:v>
      </x:c>
      <x:c r="G10" s="88" t="str">
        <x:v>23:00</x:v>
      </x:c>
      <x:c r="H10" s="88" t="str">
        <x:v>上海浦东国际机场</x:v>
      </x:c>
      <x:c r="I10" s="88" t="str">
        <x:v>西双版纳嘎洒国际机场</x:v>
      </x:c>
      <x:c r="J10" s="88" t="n">
        <x:v>0</x:v>
      </x:c>
      <x:c r="K10" s="88" t="str">
        <x:v>—</x:v>
      </x:c>
      <x:c r="L10" s="88" t="str">
        <x:v>3 小时 50 分钟</x:v>
      </x:c>
      <x:c r="M10" s="89" t="n">
        <x:v>1610</x:v>
      </x:c>
      <x:c r="N10" s="89" t="n">
        <x:v>350</x:v>
      </x:c>
      <x:c r="O10" s="89" t="n">
        <x:f>M10+N10</x:f>
        <x:v>1960</x:v>
      </x:c>
      <x:c r="P10" s="88" t="str">
        <x:f>IF(O10&lt;5000,"是","否")</x:f>
        <x:v>是</x:v>
      </x:c>
      <x:c r="Q10" s="90" t="str">
        <x:v>春秋低价票可能不含托运；按国内往返20kg保守预留¥350</x:v>
      </x:c>
      <x:c r="R10" s="90" t="str">
        <x:v>该去程对应的最低可订返程组合；具体返程航班需打开来源链接确认</x:v>
      </x:c>
      <x:c r="S10" s="91" t="n">
        <x:v>46267.74779550926</x:v>
      </x:c>
      <x:c r="T10" s="92" t="str">
        <x:v>https://www.google.com/travel/flights?hl=zh-CN&amp;curr=CNY&amp;q=Flights%20from%20Shanghai%20to%20JHG%20from%202026-10-04%20to%202026-10-09</x:v>
      </x:c>
      <x:c r="U10" s="136" t="n">
        <x:v>46304</x:v>
      </x:c>
      <x:c r="V10" s="90" t="str">
        <x:v>08:00</x:v>
      </x:c>
      <x:c r="W10" s="90" t="str">
        <x:v>西双版纳嘎洒国际机场</x:v>
      </x:c>
      <x:c r="X10" s="137" t="n">
        <x:v>46304</x:v>
      </x:c>
      <x:c r="Y10" s="90" t="str">
        <x:v>11:40</x:v>
      </x:c>
      <x:c r="Z10" s="90" t="str">
        <x:v>上海浦东国际机场</x:v>
      </x:c>
      <x:c r="AA10" s="90" t="str">
        <x:v>春航</x:v>
      </x:c>
      <x:c r="AB10" s="90" t="n">
        <x:v>0</x:v>
      </x:c>
      <x:c r="AC10" s="90" t="str">
        <x:v>3 小时 40 分钟</x:v>
      </x:c>
      <x:c r="AD10" s="138" t="n">
        <x:v>1610</x:v>
      </x:c>
      <x:c r="AE10" s="90" t="str">
        <x:v>匹配原始往返起价</x:v>
      </x:c>
      <x:c r="AF10" s="92" t="str">
        <x:v>https://www.google.com/travel/flights/search?tfs=CBwQAhpFEgoyMDI2LTEwLTA0IiAKA1BWRxIKMjAyNi0xMC0wNBoDSkhHKgI5QzIENzYwN2oMCAISCC9tLzA2d2pmcgcIARIDSkhHGiMSCjIwMjYtMTAtMDlqBwgBEgNKSEdyDAgCEggvbS8wNndqZkABSAFwAYIBCwj___________8BmAEB&amp;tfu=CmxDalJJZEU5VWJEQndRbVpTWVhkQlIyZ3RWRkZDUnkwdExTMHRMUzB0YzJWaVozSXpNMEZCUVVGQlIzRlpSREE0VDNNMmQwRkJFZ1k1UXpjMk1EY2FDZ2pLREJBQUdnTkRUbGs0SFhDVHV3RT0SAggAIgMKATA&amp;hl=zh-CN&amp;curr=CNY</x:v>
      </x:c>
    </x:row>
    <x:row r="11" ht="42" customHeight="1">
      <x:c r="A11" s="85" t="n">
        <x:f>ROW()-7</x:f>
        <x:v>4</x:v>
      </x:c>
      <x:c r="B11" s="86" t="n">
        <x:v>46299</x:v>
      </x:c>
      <x:c r="C11" s="86" t="n">
        <x:v>46304</x:v>
      </x:c>
      <x:c r="D11" s="87" t="n">
        <x:v>5</x:v>
      </x:c>
      <x:c r="E11" s="88" t="str">
        <x:v>春航</x:v>
      </x:c>
      <x:c r="F11" s="88" t="str">
        <x:v>06:00</x:v>
      </x:c>
      <x:c r="G11" s="88" t="str">
        <x:v>10:00</x:v>
      </x:c>
      <x:c r="H11" s="88" t="str">
        <x:v>上海浦东国际机场</x:v>
      </x:c>
      <x:c r="I11" s="88" t="str">
        <x:v>西双版纳嘎洒国际机场</x:v>
      </x:c>
      <x:c r="J11" s="88" t="n">
        <x:v>0</x:v>
      </x:c>
      <x:c r="K11" s="88" t="str">
        <x:v>—</x:v>
      </x:c>
      <x:c r="L11" s="88" t="str">
        <x:v>4 小时</x:v>
      </x:c>
      <x:c r="M11" s="89" t="n">
        <x:v>1710</x:v>
      </x:c>
      <x:c r="N11" s="89" t="n">
        <x:v>350</x:v>
      </x:c>
      <x:c r="O11" s="89" t="n">
        <x:f>M11+N11</x:f>
        <x:v>2060</x:v>
      </x:c>
      <x:c r="P11" s="88" t="str">
        <x:f>IF(O11&lt;5000,"是","否")</x:f>
        <x:v>是</x:v>
      </x:c>
      <x:c r="Q11" s="90" t="str">
        <x:v>春秋低价票可能不含托运；按国内往返20kg保守预留¥350</x:v>
      </x:c>
      <x:c r="R11" s="90" t="str">
        <x:v>该去程对应的最低可订返程组合；具体返程航班需打开来源链接确认</x:v>
      </x:c>
      <x:c r="S11" s="91" t="n">
        <x:v>46267.74779550926</x:v>
      </x:c>
      <x:c r="T11" s="92" t="str">
        <x:v>https://www.google.com/travel/flights?hl=zh-CN&amp;curr=CNY&amp;q=Flights%20from%20Shanghai%20to%20JHG%20from%202026-10-04%20to%202026-10-09</x:v>
      </x:c>
      <x:c r="U11" s="136" t="n">
        <x:v>46304</x:v>
      </x:c>
      <x:c r="V11" s="90" t="str">
        <x:v>08:00</x:v>
      </x:c>
      <x:c r="W11" s="90" t="str">
        <x:v>西双版纳嘎洒国际机场</x:v>
      </x:c>
      <x:c r="X11" s="137" t="n">
        <x:v>46304</x:v>
      </x:c>
      <x:c r="Y11" s="90" t="str">
        <x:v>11:40</x:v>
      </x:c>
      <x:c r="Z11" s="90" t="str">
        <x:v>上海浦东国际机场</x:v>
      </x:c>
      <x:c r="AA11" s="90" t="str">
        <x:v>春航</x:v>
      </x:c>
      <x:c r="AB11" s="90" t="n">
        <x:v>0</x:v>
      </x:c>
      <x:c r="AC11" s="90" t="str">
        <x:v>3 小时 40 分钟</x:v>
      </x:c>
      <x:c r="AD11" s="138" t="n">
        <x:v>1710</x:v>
      </x:c>
      <x:c r="AE11" s="90" t="str">
        <x:v>匹配原始往返起价</x:v>
      </x:c>
      <x:c r="AF11" s="92" t="str">
        <x:v>https://www.google.com/travel/flights/search?tfs=CBwQAhpFEgoyMDI2LTEwLTA0IiAKA1BWRxIKMjAyNi0xMC0wNBoDSkhHKgI5QzIENjQ0OWoMCAISCC9tLzA2d2pmcgcIARIDSkhHGiMSCjIwMjYtMTAtMDlqBwgBEgNKSEdyDAgCEggvbS8wNndqZkABSAFwAYIBCwj___________8BmAEB&amp;tfu=CmxDalJJZEU5VWJEQndRbVpTWVhkQlIyZ3RTVkZDUnkwdExTMHRMUzB0YzJWaVozSXpNMEZCUVVGQlIzRlpSREE0U1cxM09XMUJFZ1k1UXpZME5Ea2FDZ2l1RFJBQUdnTkRUbGs0SFhEanhnRT0SAggAIgMKATA&amp;hl=zh-CN&amp;curr=CNY</x:v>
      </x:c>
    </x:row>
    <x:row r="12" ht="42" customHeight="1">
      <x:c r="A12" s="85" t="n">
        <x:f>ROW()-7</x:f>
        <x:v>5</x:v>
      </x:c>
      <x:c r="B12" s="86" t="n">
        <x:v>46298</x:v>
      </x:c>
      <x:c r="C12" s="86" t="n">
        <x:v>46304</x:v>
      </x:c>
      <x:c r="D12" s="87" t="n">
        <x:v>6</x:v>
      </x:c>
      <x:c r="E12" s="88" t="str">
        <x:v>春航</x:v>
      </x:c>
      <x:c r="F12" s="88" t="str">
        <x:v>19:10</x:v>
      </x:c>
      <x:c r="G12" s="88" t="str">
        <x:v>23:00</x:v>
      </x:c>
      <x:c r="H12" s="88" t="str">
        <x:v>上海浦东国际机场</x:v>
      </x:c>
      <x:c r="I12" s="88" t="str">
        <x:v>西双版纳嘎洒国际机场</x:v>
      </x:c>
      <x:c r="J12" s="88" t="n">
        <x:v>0</x:v>
      </x:c>
      <x:c r="K12" s="88" t="str">
        <x:v>—</x:v>
      </x:c>
      <x:c r="L12" s="88" t="str">
        <x:v>3 小时 50 分钟</x:v>
      </x:c>
      <x:c r="M12" s="89" t="n">
        <x:v>1790</x:v>
      </x:c>
      <x:c r="N12" s="89" t="n">
        <x:v>350</x:v>
      </x:c>
      <x:c r="O12" s="89" t="n">
        <x:f>M12+N12</x:f>
        <x:v>2140</x:v>
      </x:c>
      <x:c r="P12" s="88" t="str">
        <x:f>IF(O12&lt;5000,"是","否")</x:f>
        <x:v>是</x:v>
      </x:c>
      <x:c r="Q12" s="90" t="str">
        <x:v>春秋低价票可能不含托运；按国内往返20kg保守预留¥350</x:v>
      </x:c>
      <x:c r="R12" s="90" t="str">
        <x:v>该去程对应的最低可订返程组合；具体返程航班需打开来源链接确认</x:v>
      </x:c>
      <x:c r="S12" s="91" t="n">
        <x:v>46267.74779550926</x:v>
      </x:c>
      <x:c r="T12" s="92" t="str">
        <x:v>https://www.google.com/travel/flights?hl=zh-CN&amp;curr=CNY&amp;q=Flights%20from%20Shanghai%20to%20JHG%20from%202026-10-03%20to%202026-10-09</x:v>
      </x:c>
      <x:c r="U12" s="136" t="n">
        <x:v>46304</x:v>
      </x:c>
      <x:c r="V12" s="90" t="str">
        <x:v>08:00</x:v>
      </x:c>
      <x:c r="W12" s="90" t="str">
        <x:v>西双版纳嘎洒国际机场</x:v>
      </x:c>
      <x:c r="X12" s="137" t="n">
        <x:v>46304</x:v>
      </x:c>
      <x:c r="Y12" s="90" t="str">
        <x:v>11:40</x:v>
      </x:c>
      <x:c r="Z12" s="90" t="str">
        <x:v>上海浦东国际机场</x:v>
      </x:c>
      <x:c r="AA12" s="90" t="str">
        <x:v>春航</x:v>
      </x:c>
      <x:c r="AB12" s="90" t="n">
        <x:v>0</x:v>
      </x:c>
      <x:c r="AC12" s="90" t="str">
        <x:v>3 小时 40 分钟</x:v>
      </x:c>
      <x:c r="AD12" s="138" t="n">
        <x:v>1790</x:v>
      </x:c>
      <x:c r="AE12" s="90" t="str">
        <x:v>匹配原始往返起价</x:v>
      </x:c>
      <x:c r="AF12" s="92" t="str">
        <x:v>https://www.google.com/travel/flights/search?tfs=CBwQAhpFEgoyMDI2LTEwLTAzIiAKA1BWRxIKMjAyNi0xMC0wMxoDSkhHKgI5QzIENzYwN2oMCAISCC9tLzA2d2pmcgcIARIDSkhHGiMSCjIwMjYtMTAtMDlqBwgBEgNKSEdyDAgCEggvbS8wNndqZkABSAFwAYIBCwj___________8BmAEB&amp;tfu=CmxDalJJUjJOcVVEZzBWMGRIYlVWQlJYTnVVVkZDUnkwdExTMHRMUzB0YzJWaVluVXpOVUZCUVVGQlIzRlpSREZKU0Y4MlJtTkJFZ1k1UXpjMk1EY2FDZ2orRFJBQUdnTkRUbGs0SFhDSzBBRT0SAggAIg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46304</x:v>
      </x:c>
      <x:c r="D13" s="87" t="n">
        <x:v>6</x:v>
      </x:c>
      <x:c r="E13" s="88" t="str">
        <x:v>春航</x:v>
      </x:c>
      <x:c r="F13" s="88" t="str">
        <x:v>17:45</x:v>
      </x:c>
      <x:c r="G13" s="88" t="str">
        <x:v>21:30</x:v>
      </x:c>
      <x:c r="H13" s="88" t="str">
        <x:v>上海浦东国际机场</x:v>
      </x:c>
      <x:c r="I13" s="88" t="str">
        <x:v>西双版纳嘎洒国际机场</x:v>
      </x:c>
      <x:c r="J13" s="88" t="n">
        <x:v>0</x:v>
      </x:c>
      <x:c r="K13" s="88" t="str">
        <x:v>—</x:v>
      </x:c>
      <x:c r="L13" s="88" t="str">
        <x:v>3 小时 45 分钟</x:v>
      </x:c>
      <x:c r="M13" s="89" t="n">
        <x:v>1910</x:v>
      </x:c>
      <x:c r="N13" s="89" t="n">
        <x:v>350</x:v>
      </x:c>
      <x:c r="O13" s="89" t="n">
        <x:f>M13+N13</x:f>
        <x:v>2260</x:v>
      </x:c>
      <x:c r="P13" s="88" t="str">
        <x:f>IF(O13&lt;5000,"是","否")</x:f>
        <x:v>是</x:v>
      </x:c>
      <x:c r="Q13" s="90" t="str">
        <x:v>春秋低价票可能不含托运；按国内往返20kg保守预留¥350</x:v>
      </x:c>
      <x:c r="R13" s="90" t="str">
        <x:v>该去程对应的最低可订返程组合；具体返程航班需打开来源链接确认</x:v>
      </x:c>
      <x:c r="S13" s="91" t="n">
        <x:v>46267.74779550926</x:v>
      </x:c>
      <x:c r="T13" s="92" t="str">
        <x:v>https://www.google.com/travel/flights?hl=zh-CN&amp;curr=CNY&amp;q=Flights%20from%20Shanghai%20to%20JHG%20from%202026-10-03%20to%202026-10-09</x:v>
      </x:c>
      <x:c r="U13" s="136" t="n">
        <x:v>46304</x:v>
      </x:c>
      <x:c r="V13" s="90" t="str">
        <x:v>08:00</x:v>
      </x:c>
      <x:c r="W13" s="90" t="str">
        <x:v>西双版纳嘎洒国际机场</x:v>
      </x:c>
      <x:c r="X13" s="137" t="n">
        <x:v>46304</x:v>
      </x:c>
      <x:c r="Y13" s="90" t="str">
        <x:v>11:40</x:v>
      </x:c>
      <x:c r="Z13" s="90" t="str">
        <x:v>上海浦东国际机场</x:v>
      </x:c>
      <x:c r="AA13" s="90" t="str">
        <x:v>春航</x:v>
      </x:c>
      <x:c r="AB13" s="90" t="n">
        <x:v>0</x:v>
      </x:c>
      <x:c r="AC13" s="90" t="str">
        <x:v>3 小时 40 分钟</x:v>
      </x:c>
      <x:c r="AD13" s="138" t="n">
        <x:v>1910</x:v>
      </x:c>
      <x:c r="AE13" s="90" t="str">
        <x:v>匹配原始往返起价</x:v>
      </x:c>
      <x:c r="AF13" s="92" t="str">
        <x:v>https://www.google.com/travel/flights/search?tfs=CBwQAhpFEgoyMDI2LTEwLTAzIiAKA1BWRxIKMjAyNi0xMC0wMxoDSkhHKgI5QzIENzYwNWoMCAISCC9tLzA2d2pmcgcIARIDSkhHGiMSCjIwMjYtMTAtMDlqBwgBEgNKSEdyDAgCEggvbS8wNndqZkABSAFwAYIBCwj___________8BmAEB&amp;tfu=CmxDalJJTFhrM016ZFNRVGg0ZUZGQlJYUk1jbWRDUnkwdExTMHRMUzF6WldKdU15MXVNa0ZCUVVGQlIzRlpSREUwU2xBeldsRkJFZ1k1UXpjMk1EVWFDZ2oyRGhBQUdnTkRUbGs0SFhDRDNnRT0SAggAIgA&amp;hl=zh-CN&amp;curr=CNY</x:v>
      </x:c>
    </x:row>
    <x:row r="14" ht="42" customHeight="1">
      <x:c r="A14" s="85" t="n">
        <x:f>ROW()-7</x:f>
        <x:v>7</x:v>
      </x:c>
      <x:c r="B14" s="86" t="n">
        <x:v>46299</x:v>
      </x:c>
      <x:c r="C14" s="86" t="n">
        <x:v>46303</x:v>
      </x:c>
      <x:c r="D14" s="87" t="n">
        <x:v>4</x:v>
      </x:c>
      <x:c r="E14" s="88" t="str">
        <x:v>春航</x:v>
      </x:c>
      <x:c r="F14" s="88" t="str">
        <x:v>19:10</x:v>
      </x:c>
      <x:c r="G14" s="88" t="str">
        <x:v>23:00</x:v>
      </x:c>
      <x:c r="H14" s="88" t="str">
        <x:v>上海浦东国际机场</x:v>
      </x:c>
      <x:c r="I14" s="88" t="str">
        <x:v>西双版纳嘎洒国际机场</x:v>
      </x:c>
      <x:c r="J14" s="88" t="n">
        <x:v>0</x:v>
      </x:c>
      <x:c r="K14" s="88" t="str">
        <x:v>—</x:v>
      </x:c>
      <x:c r="L14" s="88" t="str">
        <x:v>3 小时 50 分钟</x:v>
      </x:c>
      <x:c r="M14" s="89" t="n">
        <x:v>1910</x:v>
      </x:c>
      <x:c r="N14" s="89" t="n">
        <x:v>350</x:v>
      </x:c>
      <x:c r="O14" s="89" t="n">
        <x:f>M14+N14</x:f>
        <x:v>2260</x:v>
      </x:c>
      <x:c r="P14" s="88" t="str">
        <x:f>IF(O14&lt;5000,"是","否")</x:f>
        <x:v>是</x:v>
      </x:c>
      <x:c r="Q14" s="90" t="str">
        <x:v>春秋低价票可能不含托运；按国内往返20kg保守预留¥350</x:v>
      </x:c>
      <x:c r="R14" s="90" t="str">
        <x:v>该去程对应的最低可订返程组合；具体返程航班需打开来源链接确认</x:v>
      </x:c>
      <x:c r="S14" s="91" t="n">
        <x:v>46267.74779550926</x:v>
      </x:c>
      <x:c r="T14" s="92" t="str">
        <x:v>https://www.google.com/travel/flights?hl=zh-CN&amp;curr=CNY&amp;q=Flights%20from%20Shanghai%20to%20JHG%20from%202026-10-04%20to%202026-10-08</x:v>
      </x:c>
      <x:c r="U14" s="136" t="n">
        <x:v>46303</x:v>
      </x:c>
      <x:c r="V14" s="90" t="str">
        <x:v>21:55</x:v>
      </x:c>
      <x:c r="W14" s="90" t="str">
        <x:v>西双版纳嘎洒国际机场</x:v>
      </x:c>
      <x:c r="X14" s="137" t="n">
        <x:v>46304</x:v>
      </x:c>
      <x:c r="Y14" s="90" t="str">
        <x:v>01:45</x:v>
      </x:c>
      <x:c r="Z14" s="90" t="str">
        <x:v>上海浦东国际机场</x:v>
      </x:c>
      <x:c r="AA14" s="90" t="str">
        <x:v>春航</x:v>
      </x:c>
      <x:c r="AB14" s="90" t="n">
        <x:v>0</x:v>
      </x:c>
      <x:c r="AC14" s="90" t="str">
        <x:v>3 小时 50 分钟</x:v>
      </x:c>
      <x:c r="AD14" s="138" t="n">
        <x:v>1910</x:v>
      </x:c>
      <x:c r="AE14" s="90" t="str">
        <x:v>匹配原始往返起价</x:v>
      </x:c>
      <x:c r="AF14" s="92" t="str">
        <x:v>https://www.google.com/travel/flights/search?tfs=CBwQAhpFEgoyMDI2LTEwLTA0IiAKA1BWRxIKMjAyNi0xMC0wNBoDSkhHKgI5QzIENzYwN2oMCAISCC9tLzA2d2pmcgcIARIDSkhHGiMSCjIwMjYtMTAtMDhqBwgBEgNKSEdyDAgCEggvbS8wNndqZkABSAFwAYIBCwj___________8BmAEB&amp;tfu=CmxDalJJVGxGb1IzSTNiM1ZaTUVsQlJXNVFTWGRDUnkwdExTMHRMUzB0TFhObGRYVXlNa0ZCUVVGQlIzRlpSREUwVFZkMmNXOUJFZ1k1UXpjMk1EY2FDZ2oyRGhBQUdnTkRUbGs0SFhDRDNnRT0SAggAIgMKAT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46303</x:v>
      </x:c>
      <x:c r="D15" s="87" t="n">
        <x:v>4</x:v>
      </x:c>
      <x:c r="E15" s="88" t="str">
        <x:v>春航</x:v>
      </x:c>
      <x:c r="F15" s="88" t="str">
        <x:v>06:00</x:v>
      </x:c>
      <x:c r="G15" s="88" t="str">
        <x:v>10:00</x:v>
      </x:c>
      <x:c r="H15" s="88" t="str">
        <x:v>上海浦东国际机场</x:v>
      </x:c>
      <x:c r="I15" s="88" t="str">
        <x:v>西双版纳嘎洒国际机场</x:v>
      </x:c>
      <x:c r="J15" s="88" t="n">
        <x:v>0</x:v>
      </x:c>
      <x:c r="K15" s="88" t="str">
        <x:v>—</x:v>
      </x:c>
      <x:c r="L15" s="88" t="str">
        <x:v>4 小时</x:v>
      </x:c>
      <x:c r="M15" s="89" t="n">
        <x:v>2010</x:v>
      </x:c>
      <x:c r="N15" s="89" t="n">
        <x:v>350</x:v>
      </x:c>
      <x:c r="O15" s="89" t="n">
        <x:f>M15+N15</x:f>
        <x:v>2360</x:v>
      </x:c>
      <x:c r="P15" s="88" t="str">
        <x:f>IF(O15&lt;5000,"是","否")</x:f>
        <x:v>是</x:v>
      </x:c>
      <x:c r="Q15" s="90" t="str">
        <x:v>春秋低价票可能不含托运；按国内往返20kg保守预留¥350</x:v>
      </x:c>
      <x:c r="R15" s="90" t="str">
        <x:v>该去程对应的最低可订返程组合；具体返程航班需打开来源链接确认</x:v>
      </x:c>
      <x:c r="S15" s="91" t="n">
        <x:v>46267.74779550926</x:v>
      </x:c>
      <x:c r="T15" s="92" t="str">
        <x:v>https://www.google.com/travel/flights?hl=zh-CN&amp;curr=CNY&amp;q=Flights%20from%20Shanghai%20to%20JHG%20from%202026-10-04%20to%202026-10-08</x:v>
      </x:c>
      <x:c r="U15" s="136" t="n">
        <x:v>46303</x:v>
      </x:c>
      <x:c r="V15" s="90" t="str">
        <x:v>21:55</x:v>
      </x:c>
      <x:c r="W15" s="90" t="str">
        <x:v>西双版纳嘎洒国际机场</x:v>
      </x:c>
      <x:c r="X15" s="137" t="n">
        <x:v>46304</x:v>
      </x:c>
      <x:c r="Y15" s="90" t="str">
        <x:v>01:45</x:v>
      </x:c>
      <x:c r="Z15" s="90" t="str">
        <x:v>上海浦东国际机场</x:v>
      </x:c>
      <x:c r="AA15" s="90" t="str">
        <x:v>春航</x:v>
      </x:c>
      <x:c r="AB15" s="90" t="n">
        <x:v>0</x:v>
      </x:c>
      <x:c r="AC15" s="90" t="str">
        <x:v>3 小时 50 分钟</x:v>
      </x:c>
      <x:c r="AD15" s="138" t="n">
        <x:v>2010</x:v>
      </x:c>
      <x:c r="AE15" s="90" t="str">
        <x:v>匹配原始往返起价</x:v>
      </x:c>
      <x:c r="AF15" s="92" t="str">
        <x:v>https://www.google.com/travel/flights/search?tfs=CBwQAhpFEgoyMDI2LTEwLTA0IiAKA1BWRxIKMjAyNi0xMC0wNBoDSkhHKgI5QzIENjQ0OWoMCAISCC9tLzA2d2pmcgcIARIDSkhHGiMSCjIwMjYtMTAtMDhqBwgBEgNKSEdyDAgCEggvbS8wNndqZkABSAFwAYIBCwj___________8BmAEB&amp;tfu=CmxDalJJVTFCd2FUaFNTbWhxVTBsQlJXRjFXbWRDUnkwdExTMHRMUzB0YzIxck1TMXVNVUZCUVVGQlIzRlpSREU0UkVWeFdGZEJFZ1k1UXpZME5Ea2FDZ2phRHhBQUdnTkRUbGs0SFhEVDZRRT0SAggAIgMKATA&amp;hl=zh-CN&amp;curr=CNY</x:v>
      </x:c>
    </x:row>
    <x:row r="16" ht="42" customHeight="1">
      <x:c r="A16" s="85" t="n">
        <x:f>ROW()-7</x:f>
        <x:v>9</x:v>
      </x:c>
      <x:c r="B16" s="86" t="n">
        <x:v>46298</x:v>
      </x:c>
      <x:c r="C16" s="86" t="n">
        <x:v>46304</x:v>
      </x:c>
      <x:c r="D16" s="87" t="n">
        <x:v>6</x:v>
      </x:c>
      <x:c r="E16" s="88" t="str">
        <x:v>春航</x:v>
      </x:c>
      <x:c r="F16" s="88" t="str">
        <x:v>06:00</x:v>
      </x:c>
      <x:c r="G16" s="88" t="str">
        <x:v>10:00</x:v>
      </x:c>
      <x:c r="H16" s="88" t="str">
        <x:v>上海浦东国际机场</x:v>
      </x:c>
      <x:c r="I16" s="88" t="str">
        <x:v>西双版纳嘎洒国际机场</x:v>
      </x:c>
      <x:c r="J16" s="88" t="n">
        <x:v>0</x:v>
      </x:c>
      <x:c r="K16" s="88" t="str">
        <x:v>—</x:v>
      </x:c>
      <x:c r="L16" s="88" t="str">
        <x:v>4 小时</x:v>
      </x:c>
      <x:c r="M16" s="89" t="n">
        <x:v>2040</x:v>
      </x:c>
      <x:c r="N16" s="89" t="n">
        <x:v>350</x:v>
      </x:c>
      <x:c r="O16" s="89" t="n">
        <x:f>M16+N16</x:f>
        <x:v>2390</x:v>
      </x:c>
      <x:c r="P16" s="88" t="str">
        <x:f>IF(O16&lt;5000,"是","否")</x:f>
        <x:v>是</x:v>
      </x:c>
      <x:c r="Q16" s="90" t="str">
        <x:v>春秋低价票可能不含托运；按国内往返20kg保守预留¥350</x:v>
      </x:c>
      <x:c r="R16" s="90" t="str">
        <x:v>该去程对应的最低可订返程组合；具体返程航班需打开来源链接确认</x:v>
      </x:c>
      <x:c r="S16" s="91" t="n">
        <x:v>46267.74779550926</x:v>
      </x:c>
      <x:c r="T16" s="92" t="str">
        <x:v>https://www.google.com/travel/flights?hl=zh-CN&amp;curr=CNY&amp;q=Flights%20from%20Shanghai%20to%20JHG%20from%202026-10-03%20to%202026-10-09</x:v>
      </x:c>
      <x:c r="U16" s="136" t="n">
        <x:v>46304</x:v>
      </x:c>
      <x:c r="V16" s="90" t="str">
        <x:v>08:00</x:v>
      </x:c>
      <x:c r="W16" s="90" t="str">
        <x:v>西双版纳嘎洒国际机场</x:v>
      </x:c>
      <x:c r="X16" s="137" t="n">
        <x:v>46304</x:v>
      </x:c>
      <x:c r="Y16" s="90" t="str">
        <x:v>11:40</x:v>
      </x:c>
      <x:c r="Z16" s="90" t="str">
        <x:v>上海浦东国际机场</x:v>
      </x:c>
      <x:c r="AA16" s="90" t="str">
        <x:v>春航</x:v>
      </x:c>
      <x:c r="AB16" s="90" t="n">
        <x:v>0</x:v>
      </x:c>
      <x:c r="AC16" s="90" t="str">
        <x:v>3 小时 40 分钟</x:v>
      </x:c>
      <x:c r="AD16" s="138" t="n">
        <x:v>2040</x:v>
      </x:c>
      <x:c r="AE16" s="90" t="str">
        <x:v>匹配原始往返起价</x:v>
      </x:c>
      <x:c r="AF16" s="92" t="str">
        <x:v>https://www.google.com/travel/flights/search?tfs=CBwQAhpFEgoyMDI2LTEwLTAzIiAKA1BWRxIKMjAyNi0xMC0wMxoDSkhHKgI5QzIENjQ0OWoMCAISCC9tLzA2d2pmcgcIARIDSkhHGiMSCjIwMjYtMTAtMDlqBwgBEgNKSEdyDAgCEggvbS8wNndqZkABSAFwAYIBCwj___________8BmAEB&amp;tfu=CmxDalJJYjBOd1MydElWbTlpTW1OQlJIb3lSVkZDUnkwdExTMHRMWE50WTNkck55MXVNa0ZCUVVGQlIzRlpSREpCU0dKb2JVRkJFZ1k1UXpZME5Ea2FDZ2o0RHhBQUdnTkRUbGs0SEhDUjdRRT0SAggAIgA&amp;hl=zh-CN&amp;curr=CNY</x:v>
      </x:c>
    </x:row>
    <x:row r="17" ht="42" customHeight="1">
      <x:c r="A17" s="85" t="n">
        <x:f>ROW()-7</x:f>
        <x:v>10</x:v>
      </x:c>
      <x:c r="B17" s="86" t="n">
        <x:v>46298</x:v>
      </x:c>
      <x:c r="C17" s="86" t="n">
        <x:v>46303</x:v>
      </x:c>
      <x:c r="D17" s="87" t="n">
        <x:v>5</x:v>
      </x:c>
      <x:c r="E17" s="88" t="str">
        <x:v>春航</x:v>
      </x:c>
      <x:c r="F17" s="88" t="str">
        <x:v>19:10</x:v>
      </x:c>
      <x:c r="G17" s="88" t="str">
        <x:v>23:00</x:v>
      </x:c>
      <x:c r="H17" s="88" t="str">
        <x:v>上海浦东国际机场</x:v>
      </x:c>
      <x:c r="I17" s="88" t="str">
        <x:v>西双版纳嘎洒国际机场</x:v>
      </x:c>
      <x:c r="J17" s="88" t="n">
        <x:v>0</x:v>
      </x:c>
      <x:c r="K17" s="88" t="str">
        <x:v>—</x:v>
      </x:c>
      <x:c r="L17" s="88" t="str">
        <x:v>3 小时 50 分钟</x:v>
      </x:c>
      <x:c r="M17" s="89" t="n">
        <x:v>2090</x:v>
      </x:c>
      <x:c r="N17" s="89" t="n">
        <x:v>350</x:v>
      </x:c>
      <x:c r="O17" s="89" t="n">
        <x:f>M17+N17</x:f>
        <x:v>2440</x:v>
      </x:c>
      <x:c r="P17" s="88" t="str">
        <x:f>IF(O17&lt;5000,"是","否")</x:f>
        <x:v>是</x:v>
      </x:c>
      <x:c r="Q17" s="90" t="str">
        <x:v>春秋低价票可能不含托运；按国内往返20kg保守预留¥350</x:v>
      </x:c>
      <x:c r="R17" s="90" t="str">
        <x:v>该去程对应的最低可订返程组合；具体返程航班需打开来源链接确认</x:v>
      </x:c>
      <x:c r="S17" s="91" t="n">
        <x:v>46267.74779550926</x:v>
      </x:c>
      <x:c r="T17" s="92" t="str">
        <x:v>https://www.google.com/travel/flights?hl=zh-CN&amp;curr=CNY&amp;q=Flights%20from%20Shanghai%20to%20JHG%20from%202026-10-03%20to%202026-10-08</x:v>
      </x:c>
      <x:c r="U17" s="136" t="n">
        <x:v>46303</x:v>
      </x:c>
      <x:c r="V17" s="90" t="str">
        <x:v>21:55</x:v>
      </x:c>
      <x:c r="W17" s="90" t="str">
        <x:v>西双版纳嘎洒国际机场</x:v>
      </x:c>
      <x:c r="X17" s="137" t="n">
        <x:v>46304</x:v>
      </x:c>
      <x:c r="Y17" s="90" t="str">
        <x:v>01:45</x:v>
      </x:c>
      <x:c r="Z17" s="90" t="str">
        <x:v>上海浦东国际机场</x:v>
      </x:c>
      <x:c r="AA17" s="90" t="str">
        <x:v>春航</x:v>
      </x:c>
      <x:c r="AB17" s="90" t="n">
        <x:v>0</x:v>
      </x:c>
      <x:c r="AC17" s="90" t="str">
        <x:v>3 小时 50 分钟</x:v>
      </x:c>
      <x:c r="AD17" s="138" t="n">
        <x:v>2090</x:v>
      </x:c>
      <x:c r="AE17" s="90" t="str">
        <x:v>匹配原始往返起价</x:v>
      </x:c>
      <x:c r="AF17" s="92" t="str">
        <x:v>https://www.google.com/travel/flights/search?tfs=CBwQAhpFEgoyMDI2LTEwLTAzIiAKA1BWRxIKMjAyNi0xMC0wMxoDSkhHKgI5QzIENzYwN2oMCAISCC9tLzA2d2pmcgcIARIDSkhHGiMSCjIwMjYtMTAtMDhqBwgBEgNKSEdyDAgCEggvbS8wNndqZkABSAFwAYIBCwj___________8BmAEB&amp;tfu=CmxDalJJV25VMlpHdHJNMVpPY1ZsQlJVTm5NbEZDUnkwdExTMHRMUzF6YlhWa015MXVNa0ZCUVVGQlIzRlpSREpWUjA1dWQxRkJFZ1k1UXpjMk1EY2FDZ2lxRUJBQUdnTkRUbGs0SFhENThnRT0SAggAIgA&amp;hl=zh-CN&amp;curr=CNY</x:v>
      </x:c>
    </x:row>
    <x:row r="18" ht="42" customHeight="1">
      <x:c r="A18" s="85" t="n">
        <x:f>ROW()-7</x:f>
        <x:v>11</x:v>
      </x:c>
      <x:c r="B18" s="86" t="n">
        <x:v>46297</x:v>
      </x:c>
      <x:c r="C18" s="86" t="n">
        <x:v>46304</x:v>
      </x:c>
      <x:c r="D18" s="87" t="n">
        <x:v>7</x:v>
      </x:c>
      <x:c r="E18" s="88" t="str">
        <x:v>春航</x:v>
      </x:c>
      <x:c r="F18" s="88" t="str">
        <x:v>19:10</x:v>
      </x:c>
      <x:c r="G18" s="88" t="str">
        <x:v>23:00</x:v>
      </x:c>
      <x:c r="H18" s="88" t="str">
        <x:v>上海浦东国际机场</x:v>
      </x:c>
      <x:c r="I18" s="88" t="str">
        <x:v>西双版纳嘎洒国际机场</x:v>
      </x:c>
      <x:c r="J18" s="88" t="n">
        <x:v>0</x:v>
      </x:c>
      <x:c r="K18" s="88" t="str">
        <x:v>—</x:v>
      </x:c>
      <x:c r="L18" s="88" t="str">
        <x:v>3 小时 50 分钟</x:v>
      </x:c>
      <x:c r="M18" s="89" t="n">
        <x:v>2170</x:v>
      </x:c>
      <x:c r="N18" s="89" t="n">
        <x:v>350</x:v>
      </x:c>
      <x:c r="O18" s="89" t="n">
        <x:f>M18+N18</x:f>
        <x:v>2520</x:v>
      </x:c>
      <x:c r="P18" s="88" t="str">
        <x:f>IF(O18&lt;5000,"是","否")</x:f>
        <x:v>是</x:v>
      </x:c>
      <x:c r="Q18" s="90" t="str">
        <x:v>春秋低价票可能不含托运；按国内往返20kg保守预留¥350</x:v>
      </x:c>
      <x:c r="R18" s="90" t="str">
        <x:v>该去程对应的最低可订返程组合；具体返程航班需打开来源链接确认</x:v>
      </x:c>
      <x:c r="S18" s="91" t="n">
        <x:v>46267.74779550926</x:v>
      </x:c>
      <x:c r="T18" s="92" t="str">
        <x:v>https://www.google.com/travel/flights?hl=zh-CN&amp;curr=CNY&amp;q=Flights%20from%20Shanghai%20to%20JHG%20from%202026-10-02%20to%202026-10-09</x:v>
      </x:c>
      <x:c r="U18" s="136" t="n">
        <x:v>46304</x:v>
      </x:c>
      <x:c r="V18" s="90" t="str">
        <x:v>08:00</x:v>
      </x:c>
      <x:c r="W18" s="90" t="str">
        <x:v>西双版纳嘎洒国际机场</x:v>
      </x:c>
      <x:c r="X18" s="137" t="n">
        <x:v>46304</x:v>
      </x:c>
      <x:c r="Y18" s="90" t="str">
        <x:v>11:40</x:v>
      </x:c>
      <x:c r="Z18" s="90" t="str">
        <x:v>上海浦东国际机场</x:v>
      </x:c>
      <x:c r="AA18" s="90" t="str">
        <x:v>春航</x:v>
      </x:c>
      <x:c r="AB18" s="90" t="n">
        <x:v>0</x:v>
      </x:c>
      <x:c r="AC18" s="90" t="str">
        <x:v>3 小时 40 分钟</x:v>
      </x:c>
      <x:c r="AD18" s="138" t="n">
        <x:v>2300</x:v>
      </x:c>
      <x:c r="AE18" s="90" t="str">
        <x:v>当前价格已变化，采用当前最低价返程</x:v>
      </x:c>
      <x:c r="AF18" s="92" t="str">
        <x:v>https://www.google.com/travel/flights/search?tfs=CBwQAhpFEgoyMDI2LTEwLTAyIiAKA1BWRxIKMjAyNi0xMC0wMhoDSkhHKgI5QzIENzYwN2oMCAISCC9tLzA2d2pmcgcIARIDSkhHGiMSCjIwMjYtMTAtMDlqBwgBEgNKSEdyDAgCEggvbS8wNndqZkABSAFwAYIBCwj___________8BmAEB&amp;tfu=CmxDalJJZEU5VWJEQndRbVpTWVhkQlIybEliWGRDUnkwdExTMHRMUzB0YzJWaVozSXpNMEZCUVVGQlIzRlpSREpSVFZGM1JESkJFZ1k1UXpjMk1EY2FDZ2o4RVJBQUdnTkRUbGs0SFhDdWl3ST0SAggAIgMKATA&amp;hl=zh-CN&amp;curr=CNY</x:v>
      </x:c>
    </x:row>
    <x:row r="19" ht="42" customHeight="1">
      <x:c r="A19" s="85" t="n">
        <x:f>ROW()-7</x:f>
        <x:v>12</x:v>
      </x:c>
      <x:c r="B19" s="86" t="n">
        <x:v>46298</x:v>
      </x:c>
      <x:c r="C19" s="86" t="n">
        <x:v>46303</x:v>
      </x:c>
      <x:c r="D19" s="87" t="n">
        <x:v>5</x:v>
      </x:c>
      <x:c r="E19" s="88" t="str">
        <x:v>春航</x:v>
      </x:c>
      <x:c r="F19" s="88" t="str">
        <x:v>17:45</x:v>
      </x:c>
      <x:c r="G19" s="88" t="str">
        <x:v>21:30</x:v>
      </x:c>
      <x:c r="H19" s="88" t="str">
        <x:v>上海浦东国际机场</x:v>
      </x:c>
      <x:c r="I19" s="88" t="str">
        <x:v>西双版纳嘎洒国际机场</x:v>
      </x:c>
      <x:c r="J19" s="88" t="n">
        <x:v>0</x:v>
      </x:c>
      <x:c r="K19" s="88" t="str">
        <x:v>—</x:v>
      </x:c>
      <x:c r="L19" s="88" t="str">
        <x:v>3 小时 45 分钟</x:v>
      </x:c>
      <x:c r="M19" s="89" t="n">
        <x:v>2210</x:v>
      </x:c>
      <x:c r="N19" s="89" t="n">
        <x:v>350</x:v>
      </x:c>
      <x:c r="O19" s="89" t="n">
        <x:f>M19+N19</x:f>
        <x:v>2560</x:v>
      </x:c>
      <x:c r="P19" s="88" t="str">
        <x:f>IF(O19&lt;5000,"是","否")</x:f>
        <x:v>是</x:v>
      </x:c>
      <x:c r="Q19" s="90" t="str">
        <x:v>春秋低价票可能不含托运；按国内往返20kg保守预留¥350</x:v>
      </x:c>
      <x:c r="R19" s="90" t="str">
        <x:v>该去程对应的最低可订返程组合；具体返程航班需打开来源链接确认</x:v>
      </x:c>
      <x:c r="S19" s="91" t="n">
        <x:v>46267.74779550926</x:v>
      </x:c>
      <x:c r="T19" s="92" t="str">
        <x:v>https://www.google.com/travel/flights?hl=zh-CN&amp;curr=CNY&amp;q=Flights%20from%20Shanghai%20to%20JHG%20from%202026-10-03%20to%202026-10-08</x:v>
      </x:c>
      <x:c r="U19" s="136" t="n">
        <x:v>46303</x:v>
      </x:c>
      <x:c r="V19" s="90" t="str">
        <x:v>21:55</x:v>
      </x:c>
      <x:c r="W19" s="90" t="str">
        <x:v>西双版纳嘎洒国际机场</x:v>
      </x:c>
      <x:c r="X19" s="137" t="n">
        <x:v>46304</x:v>
      </x:c>
      <x:c r="Y19" s="90" t="str">
        <x:v>01:45</x:v>
      </x:c>
      <x:c r="Z19" s="90" t="str">
        <x:v>上海浦东国际机场</x:v>
      </x:c>
      <x:c r="AA19" s="90" t="str">
        <x:v>春航</x:v>
      </x:c>
      <x:c r="AB19" s="90" t="n">
        <x:v>0</x:v>
      </x:c>
      <x:c r="AC19" s="90" t="str">
        <x:v>3 小时 50 分钟</x:v>
      </x:c>
      <x:c r="AD19" s="138" t="n">
        <x:v>2210</x:v>
      </x:c>
      <x:c r="AE19" s="90" t="str">
        <x:v>匹配原始往返起价</x:v>
      </x:c>
      <x:c r="AF19" s="92" t="str">
        <x:v>https://www.google.com/travel/flights/search?tfs=CBwQAhpFEgoyMDI2LTEwLTAzIiAKA1BWRxIKMjAyNi0xMC0wMxoDSkhHKgI5QzIENzYwNWoMCAISCC9tLzA2d2pmcgcIARIDSkhHGiMSCjIwMjYtMTAtMDhqBwgBEgNKSEdyDAgCEggvbS8wNndqZkABSAFwAYIBCwj___________8BmAEB&amp;tfu=CmxDalJJTFdzelFXRXhNM05FT1ZGQlJWZEVVVUZDUnkwdExTMHRMUzB0TFMxelpXRmtOa0ZCUVVGQlIzRlpSREpSVDNaUVVEWkJFZ1k1UXpjMk1EVWFDZ2lpRVJBQUdnTkRUbGs0SFhEemdBST0SAggAIgA&amp;hl=zh-CN&amp;curr=CNY</x:v>
      </x:c>
    </x:row>
    <x:row r="20" ht="42" customHeight="1">
      <x:c r="A20" s="85" t="n">
        <x:f>ROW()-7</x:f>
        <x:v>13</x:v>
      </x:c>
      <x:c r="B20" s="86" t="n">
        <x:v>46298</x:v>
      </x:c>
      <x:c r="C20" s="86" t="n">
        <x:v>46303</x:v>
      </x:c>
      <x:c r="D20" s="87" t="n">
        <x:v>5</x:v>
      </x:c>
      <x:c r="E20" s="88" t="str">
        <x:v>春航</x:v>
      </x:c>
      <x:c r="F20" s="88" t="str">
        <x:v>06:00</x:v>
      </x:c>
      <x:c r="G20" s="88" t="str">
        <x:v>10:00</x:v>
      </x:c>
      <x:c r="H20" s="88" t="str">
        <x:v>上海浦东国际机场</x:v>
      </x:c>
      <x:c r="I20" s="88" t="str">
        <x:v>西双版纳嘎洒国际机场</x:v>
      </x:c>
      <x:c r="J20" s="88" t="n">
        <x:v>0</x:v>
      </x:c>
      <x:c r="K20" s="88" t="str">
        <x:v>—</x:v>
      </x:c>
      <x:c r="L20" s="88" t="str">
        <x:v>4 小时</x:v>
      </x:c>
      <x:c r="M20" s="89" t="n">
        <x:v>2340</x:v>
      </x:c>
      <x:c r="N20" s="89" t="n">
        <x:v>350</x:v>
      </x:c>
      <x:c r="O20" s="89" t="n">
        <x:f>M20+N20</x:f>
        <x:v>2690</x:v>
      </x:c>
      <x:c r="P20" s="88" t="str">
        <x:f>IF(O20&lt;5000,"是","否")</x:f>
        <x:v>是</x:v>
      </x:c>
      <x:c r="Q20" s="90" t="str">
        <x:v>春秋低价票可能不含托运；按国内往返20kg保守预留¥350</x:v>
      </x:c>
      <x:c r="R20" s="90" t="str">
        <x:v>该去程对应的最低可订返程组合；具体返程航班需打开来源链接确认</x:v>
      </x:c>
      <x:c r="S20" s="91" t="n">
        <x:v>46267.74779550926</x:v>
      </x:c>
      <x:c r="T20" s="92" t="str">
        <x:v>https://www.google.com/travel/flights?hl=zh-CN&amp;curr=CNY&amp;q=Flights%20from%20Shanghai%20to%20JHG%20from%202026-10-03%20to%202026-10-08</x:v>
      </x:c>
      <x:c r="U20" s="136" t="n">
        <x:v>46303</x:v>
      </x:c>
      <x:c r="V20" s="90" t="str">
        <x:v>21:55</x:v>
      </x:c>
      <x:c r="W20" s="90" t="str">
        <x:v>西双版纳嘎洒国际机场</x:v>
      </x:c>
      <x:c r="X20" s="137" t="n">
        <x:v>46304</x:v>
      </x:c>
      <x:c r="Y20" s="90" t="str">
        <x:v>01:45</x:v>
      </x:c>
      <x:c r="Z20" s="90" t="str">
        <x:v>上海浦东国际机场</x:v>
      </x:c>
      <x:c r="AA20" s="90" t="str">
        <x:v>春航</x:v>
      </x:c>
      <x:c r="AB20" s="90" t="n">
        <x:v>0</x:v>
      </x:c>
      <x:c r="AC20" s="90" t="str">
        <x:v>3 小时 50 分钟</x:v>
      </x:c>
      <x:c r="AD20" s="138" t="n">
        <x:v>2340</x:v>
      </x:c>
      <x:c r="AE20" s="90" t="str">
        <x:v>匹配原始往返起价</x:v>
      </x:c>
      <x:c r="AF20" s="92" t="str">
        <x:v>https://www.google.com/travel/flights/search?tfs=CBwQAhpFEgoyMDI2LTEwLTAzIiAKA1BWRxIKMjAyNi0xMC0wMxoDSkhHKgI5QzIENjQ0OWoMCAISCC9tLzA2d2pmcgcIARIDSkhHGiMSCjIwMjYtMTAtMDhqBwgBEgNKSEdyDAgCEggvbS8wNndqZkABSAFwAYIBCwj___________8BmAEB&amp;tfu=CmxDalJJYnpSMU9IcEhkWFk1WVc5QlJqSlBibWRDUnkwdExTMHRMUzB0TFhObFlteG9OMEZCUVVGQlIzRlpSREpWVFVaVkxYbEJFZ1k1UXpZME5Ea2FDZ2lrRWhBQUdnTkRUbGs0SFhDQmtBST0SAggAIgA&amp;hl=zh-CN&amp;curr=CNY</x:v>
      </x:c>
    </x:row>
    <x:row r="21" ht="42" customHeight="1">
      <x:c r="A21" s="85" t="n">
        <x:f>ROW()-7</x:f>
        <x:v>14</x:v>
      </x:c>
      <x:c r="B21" s="86" t="n">
        <x:v>46300</x:v>
      </x:c>
      <x:c r="C21" s="86" t="n">
        <x:v>46304</x:v>
      </x:c>
      <x:c r="D21" s="87" t="n">
        <x:v>4</x:v>
      </x:c>
      <x:c r="E21" s="88" t="str">
        <x:v>东航</x:v>
      </x:c>
      <x:c r="F21" s="88" t="str">
        <x:v>08:45</x:v>
      </x:c>
      <x:c r="G21" s="88" t="str">
        <x:v>14:40</x:v>
      </x:c>
      <x:c r="H21" s="88" t="str">
        <x:v>上海浦东国际机场</x:v>
      </x:c>
      <x:c r="I21" s="88" t="str">
        <x:v>西双版纳嘎洒国际机场</x:v>
      </x:c>
      <x:c r="J21" s="88" t="n">
        <x:v>1</x:v>
      </x:c>
      <x:c r="K21" s="88" t="str">
        <x:v>南昌市的南昌昌北国际机场 / 50 分钟</x:v>
      </x:c>
      <x:c r="L21" s="88" t="str">
        <x:v>5 小时 55 分钟</x:v>
      </x:c>
      <x:c r="M21" s="89" t="n">
        <x:v>2707</x:v>
      </x:c>
      <x:c r="N21" s="89" t="n">
        <x:v>0</x:v>
      </x:c>
      <x:c r="O21" s="89" t="n">
        <x:f>M21+N21</x:f>
        <x:v>2707</x:v>
      </x:c>
      <x:c r="P21" s="88" t="str">
        <x:f>IF(O21&lt;5000,"是","否")</x:f>
        <x:v>是</x:v>
      </x:c>
      <x:c r="Q21" s="90" t="str">
        <x:v>国内经济舱通常含20kg；出票前须按实际票价等级复核</x:v>
      </x:c>
      <x:c r="R21" s="90" t="str">
        <x:v>该去程对应的最低可订返程组合；具体返程航班需打开来源链接确认</x:v>
      </x:c>
      <x:c r="S21" s="91" t="n">
        <x:v>46267.74779550926</x:v>
      </x:c>
      <x:c r="T21" s="92" t="str">
        <x:v>https://www.google.com/travel/flights?hl=zh-CN&amp;curr=CNY&amp;q=Flights%20from%20Shanghai%20to%20JHG%20from%202026-10-05%20to%202026-10-09</x:v>
      </x:c>
      <x:c r="U21" s="136"/>
      <x:c r="V21" s="90"/>
      <x:c r="W21" s="90"/>
      <x:c r="X21" s="137"/>
      <x:c r="Y21" s="90"/>
      <x:c r="Z21" s="90"/>
      <x:c r="AA21" s="90"/>
      <x:c r="AB21" s="90"/>
      <x:c r="AC21" s="90"/>
      <x:c r="AD21" s="138"/>
      <x:c r="AE21" s="90" t="str">
        <x:v>去程当前未找到，返程待核验</x:v>
      </x:c>
      <x:c r="AF21" s="92" t="str">
        <x:v>https://www.google.com/travel/flights?hl=zh-CN&amp;curr=CNY&amp;q=Flights%20from%20Shanghai%20to%20JHG%20from%202026-10-05%20to%202026-10-09</x:v>
      </x:c>
    </x:row>
    <x:row r="22" ht="42" customHeight="1">
      <x:c r="A22" s="85" t="n">
        <x:f>ROW()-7</x:f>
        <x:v>15</x:v>
      </x:c>
      <x:c r="B22" s="86" t="n">
        <x:v>46297</x:v>
      </x:c>
      <x:c r="C22" s="86" t="n">
        <x:v>46303</x:v>
      </x:c>
      <x:c r="D22" s="87" t="n">
        <x:v>6</x:v>
      </x:c>
      <x:c r="E22" s="88" t="str">
        <x:v>春航</x:v>
      </x:c>
      <x:c r="F22" s="88" t="str">
        <x:v>19:10</x:v>
      </x:c>
      <x:c r="G22" s="88" t="str">
        <x:v>23:00</x:v>
      </x:c>
      <x:c r="H22" s="88" t="str">
        <x:v>上海浦东国际机场</x:v>
      </x:c>
      <x:c r="I22" s="88" t="str">
        <x:v>西双版纳嘎洒国际机场</x:v>
      </x:c>
      <x:c r="J22" s="88" t="n">
        <x:v>0</x:v>
      </x:c>
      <x:c r="K22" s="88" t="str">
        <x:v>—</x:v>
      </x:c>
      <x:c r="L22" s="88" t="str">
        <x:v>3 小时 50 分钟</x:v>
      </x:c>
      <x:c r="M22" s="89" t="n">
        <x:v>2470</x:v>
      </x:c>
      <x:c r="N22" s="89" t="n">
        <x:v>350</x:v>
      </x:c>
      <x:c r="O22" s="89" t="n">
        <x:f>M22+N22</x:f>
        <x:v>2820</x:v>
      </x:c>
      <x:c r="P22" s="88" t="str">
        <x:f>IF(O22&lt;5000,"是","否")</x:f>
        <x:v>是</x:v>
      </x:c>
      <x:c r="Q22" s="90" t="str">
        <x:v>春秋低价票可能不含托运；按国内往返20kg保守预留¥350</x:v>
      </x:c>
      <x:c r="R22" s="90" t="str">
        <x:v>该去程对应的最低可订返程组合；具体返程航班需打开来源链接确认</x:v>
      </x:c>
      <x:c r="S22" s="91" t="n">
        <x:v>46267.74779550926</x:v>
      </x:c>
      <x:c r="T22" s="92" t="str">
        <x:v>https://www.google.com/travel/flights?hl=zh-CN&amp;curr=CNY&amp;q=Flights%20from%20Shanghai%20to%20JHG%20from%202026-10-02%20to%202026-10-08</x:v>
      </x:c>
      <x:c r="U22" s="136" t="n">
        <x:v>46303</x:v>
      </x:c>
      <x:c r="V22" s="90" t="str">
        <x:v>21:55</x:v>
      </x:c>
      <x:c r="W22" s="90" t="str">
        <x:v>西双版纳嘎洒国际机场</x:v>
      </x:c>
      <x:c r="X22" s="137" t="n">
        <x:v>46304</x:v>
      </x:c>
      <x:c r="Y22" s="90" t="str">
        <x:v>01:45</x:v>
      </x:c>
      <x:c r="Z22" s="90" t="str">
        <x:v>上海浦东国际机场</x:v>
      </x:c>
      <x:c r="AA22" s="90" t="str">
        <x:v>春航</x:v>
      </x:c>
      <x:c r="AB22" s="90" t="n">
        <x:v>0</x:v>
      </x:c>
      <x:c r="AC22" s="90" t="str">
        <x:v>3 小时 50 分钟</x:v>
      </x:c>
      <x:c r="AD22" s="138" t="n">
        <x:v>2600</x:v>
      </x:c>
      <x:c r="AE22" s="90" t="str">
        <x:v>当前价格已变化，采用当前最低价返程</x:v>
      </x:c>
      <x:c r="AF22" s="92" t="str">
        <x:v>https://www.google.com/travel/flights/search?tfs=CBwQAhpFEgoyMDI2LTEwLTAyIiAKA1BWRxIKMjAyNi0xMC0wMhoDSkhHKgI5QzIENzYwN2oMCAISCC9tLzA2d2pmcgcIARIDSkhHGiMSCjIwMjYtMTAtMDhqBwgBEgNKSEdyDAgCEggvbS8wNndqZkABSAFwAYIBCwj___________8BmAEB&amp;tfu=CmxDalJJUlROeFMwUnNXWFJRZEUxQlJWcDBTV2RDUnkwdExTMHRMWE50Y0hReE5DMXVNVUZCUVVGQlIzRlpSREp6UlhST2JHOUJFZ1k1UXpjMk1EY2FDZ2lvRkJBQUdnTkRUbGs0SFhDZXJnST0SAggAIgMKATA&amp;hl=zh-CN&amp;curr=CNY</x:v>
      </x:c>
    </x:row>
    <x:row r="23" ht="42" customHeight="1">
      <x:c r="A23" s="85" t="n">
        <x:f>ROW()-7</x:f>
        <x:v>16</x:v>
      </x:c>
      <x:c r="B23" s="86" t="n">
        <x:v>46296</x:v>
      </x:c>
      <x:c r="C23" s="86" t="n">
        <x:v>46303</x:v>
      </x:c>
      <x:c r="D23" s="87" t="n">
        <x:v>7</x:v>
      </x:c>
      <x:c r="E23" s="88" t="str">
        <x:v>春航</x:v>
      </x:c>
      <x:c r="F23" s="88" t="str">
        <x:v>19:10</x:v>
      </x:c>
      <x:c r="G23" s="88" t="str">
        <x:v>23:00</x:v>
      </x:c>
      <x:c r="H23" s="88" t="str">
        <x:v>上海浦东国际机场</x:v>
      </x:c>
      <x:c r="I23" s="88" t="str">
        <x:v>西双版纳嘎洒国际机场</x:v>
      </x:c>
      <x:c r="J23" s="88" t="n">
        <x:v>0</x:v>
      </x:c>
      <x:c r="K23" s="88" t="str">
        <x:v>—</x:v>
      </x:c>
      <x:c r="L23" s="88" t="str">
        <x:v>3 小时 50 分钟</x:v>
      </x:c>
      <x:c r="M23" s="89" t="n">
        <x:v>2730</x:v>
      </x:c>
      <x:c r="N23" s="89" t="n">
        <x:v>350</x:v>
      </x:c>
      <x:c r="O23" s="89" t="n">
        <x:f>M23+N23</x:f>
        <x:v>3080</x:v>
      </x:c>
      <x:c r="P23" s="88" t="str">
        <x:f>IF(O23&lt;5000,"是","否")</x:f>
        <x:v>是</x:v>
      </x:c>
      <x:c r="Q23" s="90" t="str">
        <x:v>春秋低价票可能不含托运；按国内往返20kg保守预留¥350</x:v>
      </x:c>
      <x:c r="R23" s="90" t="str">
        <x:v>该去程对应的最低可订返程组合；具体返程航班需打开来源链接确认</x:v>
      </x:c>
      <x:c r="S23" s="91" t="n">
        <x:v>46267.74779550926</x:v>
      </x:c>
      <x:c r="T23" s="92" t="str">
        <x:v>https://www.google.com/travel/flights?hl=zh-CN&amp;curr=CNY&amp;q=Flights%20from%20Shanghai%20to%20JHG%20from%202026-10-01%20to%202026-10-08</x:v>
      </x:c>
      <x:c r="U23" s="136" t="n">
        <x:v>46303</x:v>
      </x:c>
      <x:c r="V23" s="90" t="str">
        <x:v>21:55</x:v>
      </x:c>
      <x:c r="W23" s="90" t="str">
        <x:v>西双版纳嘎洒国际机场</x:v>
      </x:c>
      <x:c r="X23" s="137" t="n">
        <x:v>46304</x:v>
      </x:c>
      <x:c r="Y23" s="90" t="str">
        <x:v>01:45</x:v>
      </x:c>
      <x:c r="Z23" s="90" t="str">
        <x:v>上海浦东国际机场</x:v>
      </x:c>
      <x:c r="AA23" s="90" t="str">
        <x:v>春航</x:v>
      </x:c>
      <x:c r="AB23" s="90" t="n">
        <x:v>0</x:v>
      </x:c>
      <x:c r="AC23" s="90" t="str">
        <x:v>3 小时 50 分钟</x:v>
      </x:c>
      <x:c r="AD23" s="138" t="n">
        <x:v>2730</x:v>
      </x:c>
      <x:c r="AE23" s="90" t="str">
        <x:v>匹配原始往返起价</x:v>
      </x:c>
      <x:c r="AF23" s="92" t="str">
        <x:v>https://www.google.com/travel/flights/search?tfs=CBwQAhpFEgoyMDI2LTEwLTAxIiAKA1BWRxIKMjAyNi0xMC0wMRoDSkhHKgI5QzIENzYwN2oMCAISCC9tLzA2d2pmcgcIARIDSkhHGiMSCjIwMjYtMTAtMDhqBwgBEgNKSEdyDAgCEggvbS8wNndqZkABSAFwAYIBCwj___________8BmAEB&amp;tfu=CmxDalJJVGxGb1IzSTNiM1ZaTUVsQlJXNVZRbmRDUnkwdExTMHRMUzB0TFhObGRYVXlNa0ZCUVVGQlIzRlpSREp6UmtGWmMzbEJFZ1k1UXpjMk1EY2FDZ2lxRlJBQUdnTkRUbGs0SFhDc3ZRST0SAggAIgMKATA&amp;hl=zh-CN&amp;curr=CNY</x:v>
      </x:c>
    </x:row>
    <x:row r="24" ht="42" customHeight="1">
      <x:c r="A24" s="85" t="n">
        <x:f>ROW()-7</x:f>
        <x:v>17</x:v>
      </x:c>
      <x:c r="B24" s="86" t="n">
        <x:v>46297</x:v>
      </x:c>
      <x:c r="C24" s="86" t="n">
        <x:v>46304</x:v>
      </x:c>
      <x:c r="D24" s="87" t="n">
        <x:v>7</x:v>
      </x:c>
      <x:c r="E24" s="88" t="str">
        <x:v>春航</x:v>
      </x:c>
      <x:c r="F24" s="88" t="str">
        <x:v>06:00</x:v>
      </x:c>
      <x:c r="G24" s="88" t="str">
        <x:v>10:00</x:v>
      </x:c>
      <x:c r="H24" s="88" t="str">
        <x:v>上海浦东国际机场</x:v>
      </x:c>
      <x:c r="I24" s="88" t="str">
        <x:v>西双版纳嘎洒国际机场</x:v>
      </x:c>
      <x:c r="J24" s="88" t="n">
        <x:v>0</x:v>
      </x:c>
      <x:c r="K24" s="88" t="str">
        <x:v>—</x:v>
      </x:c>
      <x:c r="L24" s="88" t="str">
        <x:v>4 小时</x:v>
      </x:c>
      <x:c r="M24" s="89" t="n">
        <x:v>2830</x:v>
      </x:c>
      <x:c r="N24" s="89" t="n">
        <x:v>350</x:v>
      </x:c>
      <x:c r="O24" s="89" t="n">
        <x:f>M24+N24</x:f>
        <x:v>3180</x:v>
      </x:c>
      <x:c r="P24" s="88" t="str">
        <x:f>IF(O24&lt;5000,"是","否")</x:f>
        <x:v>是</x:v>
      </x:c>
      <x:c r="Q24" s="90" t="str">
        <x:v>春秋低价票可能不含托运；按国内往返20kg保守预留¥350</x:v>
      </x:c>
      <x:c r="R24" s="90" t="str">
        <x:v>该去程对应的最低可订返程组合；具体返程航班需打开来源链接确认</x:v>
      </x:c>
      <x:c r="S24" s="91" t="n">
        <x:v>46267.74779550926</x:v>
      </x:c>
      <x:c r="T24" s="92" t="str">
        <x:v>https://www.google.com/travel/flights?hl=zh-CN&amp;curr=CNY&amp;q=Flights%20from%20Shanghai%20to%20JHG%20from%202026-10-02%20to%202026-10-09</x:v>
      </x:c>
      <x:c r="U24" s="136" t="n">
        <x:v>46304</x:v>
      </x:c>
      <x:c r="V24" s="90" t="str">
        <x:v>08:00</x:v>
      </x:c>
      <x:c r="W24" s="90" t="str">
        <x:v>西双版纳嘎洒国际机场</x:v>
      </x:c>
      <x:c r="X24" s="137" t="n">
        <x:v>46304</x:v>
      </x:c>
      <x:c r="Y24" s="90" t="str">
        <x:v>11:40</x:v>
      </x:c>
      <x:c r="Z24" s="90" t="str">
        <x:v>上海浦东国际机场</x:v>
      </x:c>
      <x:c r="AA24" s="90" t="str">
        <x:v>春航</x:v>
      </x:c>
      <x:c r="AB24" s="90" t="n">
        <x:v>0</x:v>
      </x:c>
      <x:c r="AC24" s="90" t="str">
        <x:v>3 小时 40 分钟</x:v>
      </x:c>
      <x:c r="AD24" s="138" t="n">
        <x:v>2770</x:v>
      </x:c>
      <x:c r="AE24" s="90" t="str">
        <x:v>当前价格已变化，采用当前最低价返程</x:v>
      </x:c>
      <x:c r="AF24" s="92" t="str">
        <x:v>https://www.google.com/travel/flights/search?tfs=CBwQAhpFEgoyMDI2LTEwLTAyIiAKA1BWRxIKMjAyNi0xMC0wMhoDSkhHKgI5QzIENjQ0OWoMCAISCC9tLzA2d2pmcgcIARIDSkhHGiMSCjIwMjYtMTAtMDlqBwgBEgNKSEdyDAgCEggvbS8wNndqZkABSAFwAYIBCwj___________8BmAEB&amp;tfu=CmxDalJJTjI1cVh5MTFabXBWVjI5QlJYQm9kRkZDUnkwdExTMHRMWE5sZEc0eU5pMXVNVUZCUVVGQlIzRlpSREp6Um1aU1JrVkJFZ1k1UXpZME5Ea2FDZ2pTRlJBQUdnTkRUbGs0SFhEL3dRST0SAggAIgMKATA&amp;hl=zh-CN&amp;curr=CNY</x:v>
      </x:c>
    </x:row>
    <x:row r="25" ht="42" customHeight="1">
      <x:c r="A25" s="85" t="n">
        <x:f>ROW()-7</x:f>
        <x:v>18</x:v>
      </x:c>
      <x:c r="B25" s="86" t="n">
        <x:v>46296</x:v>
      </x:c>
      <x:c r="C25" s="86" t="n">
        <x:v>46303</x:v>
      </x:c>
      <x:c r="D25" s="87" t="n">
        <x:v>7</x:v>
      </x:c>
      <x:c r="E25" s="88" t="str">
        <x:v>春航</x:v>
      </x:c>
      <x:c r="F25" s="88" t="str">
        <x:v>17:10</x:v>
      </x:c>
      <x:c r="G25" s="88" t="str">
        <x:v>21:10</x:v>
      </x:c>
      <x:c r="H25" s="88" t="str">
        <x:v>上海浦东国际机场</x:v>
      </x:c>
      <x:c r="I25" s="88" t="str">
        <x:v>西双版纳嘎洒国际机场</x:v>
      </x:c>
      <x:c r="J25" s="88" t="n">
        <x:v>0</x:v>
      </x:c>
      <x:c r="K25" s="88" t="str">
        <x:v>—</x:v>
      </x:c>
      <x:c r="L25" s="88" t="str">
        <x:v>4 小时</x:v>
      </x:c>
      <x:c r="M25" s="89" t="n">
        <x:v>3070</x:v>
      </x:c>
      <x:c r="N25" s="89" t="n">
        <x:v>350</x:v>
      </x:c>
      <x:c r="O25" s="89" t="n">
        <x:f>M25+N25</x:f>
        <x:v>3420</x:v>
      </x:c>
      <x:c r="P25" s="88" t="str">
        <x:f>IF(O25&lt;5000,"是","否")</x:f>
        <x:v>是</x:v>
      </x:c>
      <x:c r="Q25" s="90" t="str">
        <x:v>春秋低价票可能不含托运；按国内往返20kg保守预留¥350</x:v>
      </x:c>
      <x:c r="R25" s="90" t="str">
        <x:v>该去程对应的最低可订返程组合；具体返程航班需打开来源链接确认</x:v>
      </x:c>
      <x:c r="S25" s="91" t="n">
        <x:v>46267.74779550926</x:v>
      </x:c>
      <x:c r="T25" s="92" t="str">
        <x:v>https://www.google.com/travel/flights?hl=zh-CN&amp;curr=CNY&amp;q=Flights%20from%20Shanghai%20to%20JHG%20from%202026-10-01%20to%202026-10-08</x:v>
      </x:c>
      <x:c r="U25" s="136" t="n">
        <x:v>46303</x:v>
      </x:c>
      <x:c r="V25" s="90" t="str">
        <x:v>21:55</x:v>
      </x:c>
      <x:c r="W25" s="90" t="str">
        <x:v>西双版纳嘎洒国际机场</x:v>
      </x:c>
      <x:c r="X25" s="137" t="n">
        <x:v>46304</x:v>
      </x:c>
      <x:c r="Y25" s="90" t="str">
        <x:v>01:45</x:v>
      </x:c>
      <x:c r="Z25" s="90" t="str">
        <x:v>上海浦东国际机场</x:v>
      </x:c>
      <x:c r="AA25" s="90" t="str">
        <x:v>春航</x:v>
      </x:c>
      <x:c r="AB25" s="90" t="n">
        <x:v>0</x:v>
      </x:c>
      <x:c r="AC25" s="90" t="str">
        <x:v>3 小时 50 分钟</x:v>
      </x:c>
      <x:c r="AD25" s="138" t="n">
        <x:v>3070</x:v>
      </x:c>
      <x:c r="AE25" s="90" t="str">
        <x:v>匹配原始往返起价</x:v>
      </x:c>
      <x:c r="AF25" s="92" t="str">
        <x:v>https://www.google.com/travel/flights/search?tfs=CBwQAhpFEgoyMDI2LTEwLTAxIiAKA1BWRxIKMjAyNi0xMC0wMRoDSkhHKgI5QzIENzYwNWoMCAISCC9tLzA2d2pmcgcIARIDSkhHGiMSCjIwMjYtMTAtMDhqBwgBEgNKSEdyDAgCEggvbS8wNndqZkABSAFwAYIBCwj___________8BmAEB&amp;tfu=CmxDalJJYjBOd1MydElWbTlpTW1OQlJIbzJPR2RDUnkwdExTMHRMWE50WTNkck55MXVNa0ZCUVVGQlIzRlpSRE5GUjFnd1IxRkJFZ1k1UXpjMk1EVWFDZ2orRnhBQUdnTkRUbGs0SFhEdjVBST0SAggAIgMKATA&amp;hl=zh-CN&amp;curr=CNY</x:v>
      </x:c>
    </x:row>
    <x:row r="26" ht="42" customHeight="1">
      <x:c r="A26" s="85" t="n">
        <x:f>ROW()-7</x:f>
        <x:v>19</x:v>
      </x:c>
      <x:c r="B26" s="86" t="n">
        <x:v>46299</x:v>
      </x:c>
      <x:c r="C26" s="86" t="n">
        <x:v>46304</x:v>
      </x:c>
      <x:c r="D26" s="87" t="n">
        <x:v>5</x:v>
      </x:c>
      <x:c r="E26" s="88" t="str">
        <x:v>首航</x:v>
      </x:c>
      <x:c r="F26" s="88" t="str">
        <x:v>15:40</x:v>
      </x:c>
      <x:c r="G26" s="88" t="str">
        <x:v>20:00</x:v>
      </x:c>
      <x:c r="H26" s="88" t="str">
        <x:v>上海浦东国际机场</x:v>
      </x:c>
      <x:c r="I26" s="88" t="str">
        <x:v>西双版纳嘎洒国际机场</x:v>
      </x:c>
      <x:c r="J26" s="88" t="n">
        <x:v>0</x:v>
      </x:c>
      <x:c r="K26" s="88" t="str">
        <x:v>—</x:v>
      </x:c>
      <x:c r="L26" s="88" t="str">
        <x:v>4 小时 20 分钟</x:v>
      </x:c>
      <x:c r="M26" s="89" t="n">
        <x:v>2643</x:v>
      </x:c>
      <x:c r="N26" s="89" t="n">
        <x:v>800</x:v>
      </x:c>
      <x:c r="O26" s="89" t="n">
        <x:f>M26+N26</x:f>
        <x:v>3443</x:v>
      </x:c>
      <x:c r="P26" s="88" t="str">
        <x:f>IF(O26&lt;5000,"是","否")</x:f>
        <x:v>是</x:v>
      </x:c>
      <x:c r="Q26" s="90" t="str">
        <x:v>差异化行李票价等级未知；按每程20kg最多¥400、往返保守预留¥800</x:v>
      </x:c>
      <x:c r="R26" s="90" t="str">
        <x:v>该去程对应的最低可订返程组合；具体返程航班需打开来源链接确认</x:v>
      </x:c>
      <x:c r="S26" s="91" t="n">
        <x:v>46267.74779550926</x:v>
      </x:c>
      <x:c r="T26" s="92" t="str">
        <x:v>https://www.google.com/travel/flights?hl=zh-CN&amp;curr=CNY&amp;q=Flights%20from%20Shanghai%20to%20JHG%20from%202026-10-04%20to%202026-10-09</x:v>
      </x:c>
      <x:c r="U26" s="136" t="n">
        <x:v>46304</x:v>
      </x:c>
      <x:c r="V26" s="90" t="str">
        <x:v>11:10</x:v>
      </x:c>
      <x:c r="W26" s="90" t="str">
        <x:v>西双版纳嘎洒国际机场</x:v>
      </x:c>
      <x:c r="X26" s="137" t="n">
        <x:v>46304</x:v>
      </x:c>
      <x:c r="Y26" s="90" t="str">
        <x:v>14:35</x:v>
      </x:c>
      <x:c r="Z26" s="90" t="str">
        <x:v>上海浦东国际机场</x:v>
      </x:c>
      <x:c r="AA26" s="90" t="str">
        <x:v>首航</x:v>
      </x:c>
      <x:c r="AB26" s="90" t="n">
        <x:v>0</x:v>
      </x:c>
      <x:c r="AC26" s="90" t="str">
        <x:v>3 小时 25 分钟</x:v>
      </x:c>
      <x:c r="AD26" s="138"/>
      <x:c r="AE26" s="90" t="str">
        <x:v>当前返程列表无价格，采用排序第一条</x:v>
      </x:c>
      <x:c r="AF26" s="92" t="str">
        <x:v>https://www.google.com/travel/flights/search?tfs=CBwQAhpFEgoyMDI2LTEwLTA0IiAKA1BWRxIKMjAyNi0xMC0wNBoDSkhHKgJKRDIENTYwMWoMCAISCC9tLzA2d2pmcgcIARIDSkhHGiMSCjIwMjYtMTAtMDlqBwgBEgNKSEdyDAgCEggvbS8wNndqZkABSAFwAYIBCwj___________8BmAEB&amp;tfu=ClhDalJJV0Raek9XaExUWEpYVGtsQlJYRndVa0ZDUnkwdExTMHRMUzF6WlhSdE9DMXVNVUZCUVVGQlIzRlpSRE5GU0ZWQ2NrdEJFZ1pLUkRVMk1ERTRIUT09EgIIACIA&amp;hl=zh-CN&amp;curr=CNY</x:v>
      </x:c>
    </x:row>
    <x:row r="27" ht="42" customHeight="1">
      <x:c r="A27" s="85" t="n">
        <x:f>ROW()-7</x:f>
        <x:v>20</x:v>
      </x:c>
      <x:c r="B27" s="86" t="n">
        <x:v>46296</x:v>
      </x:c>
      <x:c r="C27" s="86" t="n">
        <x:v>46300</x:v>
      </x:c>
      <x:c r="D27" s="87" t="n">
        <x:v>4</x:v>
      </x:c>
      <x:c r="E27" s="88" t="str">
        <x:v>春航</x:v>
      </x:c>
      <x:c r="F27" s="88" t="str">
        <x:v>19:10</x:v>
      </x:c>
      <x:c r="G27" s="88" t="str">
        <x:v>23:00</x:v>
      </x:c>
      <x:c r="H27" s="88" t="str">
        <x:v>上海浦东国际机场</x:v>
      </x:c>
      <x:c r="I27" s="88" t="str">
        <x:v>西双版纳嘎洒国际机场</x:v>
      </x:c>
      <x:c r="J27" s="88" t="n">
        <x:v>0</x:v>
      </x:c>
      <x:c r="K27" s="88" t="str">
        <x:v>—</x:v>
      </x:c>
      <x:c r="L27" s="88" t="str">
        <x:v>3 小时 50 分钟</x:v>
      </x:c>
      <x:c r="M27" s="89" t="n">
        <x:v>3130</x:v>
      </x:c>
      <x:c r="N27" s="89" t="n">
        <x:v>350</x:v>
      </x:c>
      <x:c r="O27" s="89" t="n">
        <x:f>M27+N27</x:f>
        <x:v>3480</x:v>
      </x:c>
      <x:c r="P27" s="88" t="str">
        <x:f>IF(O27&lt;5000,"是","否")</x:f>
        <x:v>是</x:v>
      </x:c>
      <x:c r="Q27" s="90" t="str">
        <x:v>春秋低价票可能不含托运；按国内往返20kg保守预留¥350</x:v>
      </x:c>
      <x:c r="R27" s="90" t="str">
        <x:v>该去程对应的最低可订返程组合；具体返程航班需打开来源链接确认</x:v>
      </x:c>
      <x:c r="S27" s="91" t="n">
        <x:v>46267.74779550926</x:v>
      </x:c>
      <x:c r="T27" s="92" t="str">
        <x:v>https://www.google.com/travel/flights?hl=zh-CN&amp;curr=CNY&amp;q=Flights%20from%20Shanghai%20to%20JHG%20from%202026-10-01%20to%202026-10-05</x:v>
      </x:c>
      <x:c r="U27" s="136" t="n">
        <x:v>46300</x:v>
      </x:c>
      <x:c r="V27" s="90" t="str">
        <x:v>08:00</x:v>
      </x:c>
      <x:c r="W27" s="90" t="str">
        <x:v>西双版纳嘎洒国际机场</x:v>
      </x:c>
      <x:c r="X27" s="137" t="n">
        <x:v>46300</x:v>
      </x:c>
      <x:c r="Y27" s="90" t="str">
        <x:v>11:40</x:v>
      </x:c>
      <x:c r="Z27" s="90" t="str">
        <x:v>上海浦东国际机场</x:v>
      </x:c>
      <x:c r="AA27" s="90" t="str">
        <x:v>春航</x:v>
      </x:c>
      <x:c r="AB27" s="90" t="n">
        <x:v>0</x:v>
      </x:c>
      <x:c r="AC27" s="90" t="str">
        <x:v>3 小时 40 分钟</x:v>
      </x:c>
      <x:c r="AD27" s="138" t="n">
        <x:v>3000</x:v>
      </x:c>
      <x:c r="AE27" s="90" t="str">
        <x:v>当前价格已变化，采用当前最低价返程</x:v>
      </x:c>
      <x:c r="AF27" s="92" t="str">
        <x:v>https://www.google.com/travel/flights/search?tfs=CBwQAhpFEgoyMDI2LTEwLTAxIiAKA1BWRxIKMjAyNi0xMC0wMRoDSkhHKgI5QzIENzYwN2oMCAISCC9tLzA2d2pmcgcIARIDSkhHGiMSCjIwMjYtMTAtMDVqBwgBEgNKSEdyDAgCEggvbS8wNndqZkABSAFwAYIBCwj___________8BmAEB&amp;tfu=CmxDalJJVGxGb1IzSTNiM1ZaTUVsQlJXNVhXWGRDUnkwdExTMHRMUzB0TFhObGRYVXlNa0ZCUVVGQlIzRlpSRE5GUjJoeVoyRkJFZ1k1UXpjMk1EY2FDZ2k0RnhBQUdnTkRUbGs0SFhEZDNBST0SAggAIgMKATA&amp;hl=zh-CN&amp;curr=CNY</x:v>
      </x:c>
    </x:row>
    <x:row r="28" ht="42" customHeight="1">
      <x:c r="A28" s="85" t="n">
        <x:f>ROW()-7</x:f>
        <x:v>21</x:v>
      </x:c>
      <x:c r="B28" s="86" t="n">
        <x:v>46297</x:v>
      </x:c>
      <x:c r="C28" s="86" t="n">
        <x:v>46303</x:v>
      </x:c>
      <x:c r="D28" s="87" t="n">
        <x:v>6</x:v>
      </x:c>
      <x:c r="E28" s="88" t="str">
        <x:v>春航</x:v>
      </x:c>
      <x:c r="F28" s="88" t="str">
        <x:v>06:00</x:v>
      </x:c>
      <x:c r="G28" s="88" t="str">
        <x:v>10:00</x:v>
      </x:c>
      <x:c r="H28" s="88" t="str">
        <x:v>上海浦东国际机场</x:v>
      </x:c>
      <x:c r="I28" s="88" t="str">
        <x:v>西双版纳嘎洒国际机场</x:v>
      </x:c>
      <x:c r="J28" s="88" t="n">
        <x:v>0</x:v>
      </x:c>
      <x:c r="K28" s="88" t="str">
        <x:v>—</x:v>
      </x:c>
      <x:c r="L28" s="88" t="str">
        <x:v>4 小时</x:v>
      </x:c>
      <x:c r="M28" s="89" t="n">
        <x:v>3130</x:v>
      </x:c>
      <x:c r="N28" s="89" t="n">
        <x:v>350</x:v>
      </x:c>
      <x:c r="O28" s="89" t="n">
        <x:f>M28+N28</x:f>
        <x:v>3480</x:v>
      </x:c>
      <x:c r="P28" s="88" t="str">
        <x:f>IF(O28&lt;5000,"是","否")</x:f>
        <x:v>是</x:v>
      </x:c>
      <x:c r="Q28" s="90" t="str">
        <x:v>春秋低价票可能不含托运；按国内往返20kg保守预留¥350</x:v>
      </x:c>
      <x:c r="R28" s="90" t="str">
        <x:v>该去程对应的最低可订返程组合；具体返程航班需打开来源链接确认</x:v>
      </x:c>
      <x:c r="S28" s="91" t="n">
        <x:v>46267.74779550926</x:v>
      </x:c>
      <x:c r="T28" s="92" t="str">
        <x:v>https://www.google.com/travel/flights?hl=zh-CN&amp;curr=CNY&amp;q=Flights%20from%20Shanghai%20to%20JHG%20from%202026-10-02%20to%202026-10-08</x:v>
      </x:c>
      <x:c r="U28" s="136" t="n">
        <x:v>46303</x:v>
      </x:c>
      <x:c r="V28" s="90" t="str">
        <x:v>21:55</x:v>
      </x:c>
      <x:c r="W28" s="90" t="str">
        <x:v>西双版纳嘎洒国际机场</x:v>
      </x:c>
      <x:c r="X28" s="137" t="n">
        <x:v>46304</x:v>
      </x:c>
      <x:c r="Y28" s="90" t="str">
        <x:v>01:45</x:v>
      </x:c>
      <x:c r="Z28" s="90" t="str">
        <x:v>上海浦东国际机场</x:v>
      </x:c>
      <x:c r="AA28" s="90" t="str">
        <x:v>春航</x:v>
      </x:c>
      <x:c r="AB28" s="90" t="n">
        <x:v>0</x:v>
      </x:c>
      <x:c r="AC28" s="90" t="str">
        <x:v>3 小时 50 分钟</x:v>
      </x:c>
      <x:c r="AD28" s="138" t="n">
        <x:v>3070</x:v>
      </x:c>
      <x:c r="AE28" s="90" t="str">
        <x:v>当前价格已变化，采用当前最低价返程</x:v>
      </x:c>
      <x:c r="AF28" s="92" t="str">
        <x:v>https://www.google.com/travel/flights/search?tfs=CBwQAhpFEgoyMDI2LTEwLTAyIiAKA1BWRxIKMjAyNi0xMC0wMhoDSkhHKgI5QzIENjQ0OWoMCAISCC9tLzA2d2pmcgcIARIDSkhHGiMSCjIwMjYtMTAtMDhqBwgBEgNKSEdyDAgCEggvbS8wNndqZkABSAFwAYIBCwj___________8BmAEB&amp;tfu=CmxDalJJTFdzelFXRXhNM05FT1ZGQlJWZEllbWRDUnkwdExTMHRMUzB0TFMxelpXRmtOa0ZCUVVGQlIzRlpSRE5GU0dVd1YxTkJFZ1k1UXpZME5Ea2FDZ2orRnhBQUdnTkRUbGs0SFhEdjVBST0SAggAIgMKATA&amp;hl=zh-CN&amp;curr=CNY</x:v>
      </x:c>
    </x:row>
    <x:row r="29" ht="42" customHeight="1">
      <x:c r="A29" s="85" t="n">
        <x:f>ROW()-7</x:f>
        <x:v>22</x:v>
      </x:c>
      <x:c r="B29" s="86" t="n">
        <x:v>46297</x:v>
      </x:c>
      <x:c r="C29" s="86" t="n">
        <x:v>46301</x:v>
      </x:c>
      <x:c r="D29" s="87" t="n">
        <x:v>4</x:v>
      </x:c>
      <x:c r="E29" s="88" t="str">
        <x:v>春航</x:v>
      </x:c>
      <x:c r="F29" s="88" t="str">
        <x:v>19:10</x:v>
      </x:c>
      <x:c r="G29" s="88" t="str">
        <x:v>23:00</x:v>
      </x:c>
      <x:c r="H29" s="88" t="str">
        <x:v>上海浦东国际机场</x:v>
      </x:c>
      <x:c r="I29" s="88" t="str">
        <x:v>西双版纳嘎洒国际机场</x:v>
      </x:c>
      <x:c r="J29" s="88" t="n">
        <x:v>0</x:v>
      </x:c>
      <x:c r="K29" s="88" t="str">
        <x:v>—</x:v>
      </x:c>
      <x:c r="L29" s="88" t="str">
        <x:v>3 小时 50 分钟</x:v>
      </x:c>
      <x:c r="M29" s="89" t="n">
        <x:v>3250</x:v>
      </x:c>
      <x:c r="N29" s="89" t="n">
        <x:v>350</x:v>
      </x:c>
      <x:c r="O29" s="89" t="n">
        <x:f>M29+N29</x:f>
        <x:v>3600</x:v>
      </x:c>
      <x:c r="P29" s="88" t="str">
        <x:f>IF(O29&lt;5000,"是","否")</x:f>
        <x:v>是</x:v>
      </x:c>
      <x:c r="Q29" s="90" t="str">
        <x:v>春秋低价票可能不含托运；按国内往返20kg保守预留¥350</x:v>
      </x:c>
      <x:c r="R29" s="90" t="str">
        <x:v>该去程对应的最低可订返程组合；具体返程航班需打开来源链接确认</x:v>
      </x:c>
      <x:c r="S29" s="91" t="n">
        <x:v>46267.74779550926</x:v>
      </x:c>
      <x:c r="T29" s="92" t="str">
        <x:v>https://www.google.com/travel/flights?hl=zh-CN&amp;curr=CNY&amp;q=Flights%20from%20Shanghai%20to%20JHG%20from%202026-10-02%20to%202026-10-06</x:v>
      </x:c>
      <x:c r="U29" s="136" t="n">
        <x:v>46301</x:v>
      </x:c>
      <x:c r="V29" s="90" t="str">
        <x:v>08:00</x:v>
      </x:c>
      <x:c r="W29" s="90" t="str">
        <x:v>西双版纳嘎洒国际机场</x:v>
      </x:c>
      <x:c r="X29" s="137" t="n">
        <x:v>46301</x:v>
      </x:c>
      <x:c r="Y29" s="90" t="str">
        <x:v>11:40</x:v>
      </x:c>
      <x:c r="Z29" s="90" t="str">
        <x:v>上海浦东国际机场</x:v>
      </x:c>
      <x:c r="AA29" s="90" t="str">
        <x:v>春航</x:v>
      </x:c>
      <x:c r="AB29" s="90" t="n">
        <x:v>0</x:v>
      </x:c>
      <x:c r="AC29" s="90" t="str">
        <x:v>3 小时 40 分钟</x:v>
      </x:c>
      <x:c r="AD29" s="138" t="n">
        <x:v>3380</x:v>
      </x:c>
      <x:c r="AE29" s="90" t="str">
        <x:v>当前价格已变化，采用当前最低价返程</x:v>
      </x:c>
      <x:c r="AF29" s="92" t="str">
        <x:v>https://www.google.com/travel/flights/search?tfs=CBwQAhpFEgoyMDI2LTEwLTAyIiAKA1BWRxIKMjAyNi0xMC0wMhoDSkhHKgI5QzIENzYwN2oMCAISCC9tLzA2d2pmcgcIARIDSkhHGiMSCjIwMjYtMTAtMDZqBwgBEgNKSEdyDAgCEggvbS8wNndqZkABSAFwAYIBCwj___________8BmAEB&amp;tfu=CmxDalJJUlROeFMwUnNXWFJRZEUxQlJWcDROMUZDUnkwdExTMHRMWE50Y0hReE5DMXVNVUZCUVVGQlIzRlpSRE5qUzAxWlVXbEJFZ1k1UXpjMk1EY2FDZ2kwR2hBQUdnTkRUbGs0SFhEemlBTT0SAggAIgMKATA&amp;hl=zh-CN&amp;curr=CNY</x:v>
      </x:c>
    </x:row>
    <x:row r="30" ht="42" customHeight="1">
      <x:c r="A30" s="85" t="n">
        <x:f>ROW()-7</x:f>
        <x:v>23</x:v>
      </x:c>
      <x:c r="B30" s="86" t="n">
        <x:v>46298</x:v>
      </x:c>
      <x:c r="C30" s="86" t="n">
        <x:v>46302</x:v>
      </x:c>
      <x:c r="D30" s="87" t="n">
        <x:v>4</x:v>
      </x:c>
      <x:c r="E30" s="88" t="str">
        <x:v>春航</x:v>
      </x:c>
      <x:c r="F30" s="88" t="str">
        <x:v>19:10</x:v>
      </x:c>
      <x:c r="G30" s="88" t="str">
        <x:v>23:00</x:v>
      </x:c>
      <x:c r="H30" s="88" t="str">
        <x:v>上海浦东国际机场</x:v>
      </x:c>
      <x:c r="I30" s="88" t="str">
        <x:v>西双版纳嘎洒国际机场</x:v>
      </x:c>
      <x:c r="J30" s="88" t="n">
        <x:v>0</x:v>
      </x:c>
      <x:c r="K30" s="88" t="str">
        <x:v>—</x:v>
      </x:c>
      <x:c r="L30" s="88" t="str">
        <x:v>3 小时 50 分钟</x:v>
      </x:c>
      <x:c r="M30" s="89" t="n">
        <x:v>3250</x:v>
      </x:c>
      <x:c r="N30" s="89" t="n">
        <x:v>350</x:v>
      </x:c>
      <x:c r="O30" s="89" t="n">
        <x:f>M30+N30</x:f>
        <x:v>3600</x:v>
      </x:c>
      <x:c r="P30" s="88" t="str">
        <x:f>IF(O30&lt;5000,"是","否")</x:f>
        <x:v>是</x:v>
      </x:c>
      <x:c r="Q30" s="90" t="str">
        <x:v>春秋低价票可能不含托运；按国内往返20kg保守预留¥350</x:v>
      </x:c>
      <x:c r="R30" s="90" t="str">
        <x:v>该去程对应的最低可订返程组合；具体返程航班需打开来源链接确认</x:v>
      </x:c>
      <x:c r="S30" s="91" t="n">
        <x:v>46267.74779550926</x:v>
      </x:c>
      <x:c r="T30" s="92" t="str">
        <x:v>https://www.google.com/travel/flights?hl=zh-CN&amp;curr=CNY&amp;q=Flights%20from%20Shanghai%20to%20JHG%20from%202026-10-03%20to%202026-10-07</x:v>
      </x:c>
      <x:c r="U30" s="136" t="n">
        <x:v>46302</x:v>
      </x:c>
      <x:c r="V30" s="90" t="str">
        <x:v>08:00</x:v>
      </x:c>
      <x:c r="W30" s="90" t="str">
        <x:v>西双版纳嘎洒国际机场</x:v>
      </x:c>
      <x:c r="X30" s="137" t="n">
        <x:v>46302</x:v>
      </x:c>
      <x:c r="Y30" s="90" t="str">
        <x:v>11:40</x:v>
      </x:c>
      <x:c r="Z30" s="90" t="str">
        <x:v>上海浦东国际机场</x:v>
      </x:c>
      <x:c r="AA30" s="90" t="str">
        <x:v>春航</x:v>
      </x:c>
      <x:c r="AB30" s="90" t="n">
        <x:v>0</x:v>
      </x:c>
      <x:c r="AC30" s="90" t="str">
        <x:v>3 小时 40 分钟</x:v>
      </x:c>
      <x:c r="AD30" s="138" t="n">
        <x:v>3250</x:v>
      </x:c>
      <x:c r="AE30" s="90" t="str">
        <x:v>匹配原始往返起价</x:v>
      </x:c>
      <x:c r="AF30" s="92" t="str">
        <x:v>https://www.google.com/travel/flights/search?tfs=CBwQAhpFEgoyMDI2LTEwLTAzIiAKA1BWRxIKMjAyNi0xMC0wMxoDSkhHKgI5QzIENzYwN2oMCAISCC9tLzA2d2pmcgcIARIDSkhHGiMSCjIwMjYtMTAtMDdqBwgBEgNKSEdyDAgCEggvbS8wNndqZkABSAFwAYIBCwj___________8BmAEB&amp;tfu=CmxDalJJTjI1cVh5MTFabXBWVjI5QlJYQnRWMUZDUnkwdExTMHRMWE5sZEc0eU5pMXVNVUZCUVVGQlIzRlpSRE5uUWpsSGVHMUJFZ1k1UXpjMk1EY2FDZ2l5R1JBQUdnTkRUbGs0SFhEbCtRST0SAggAIgA&amp;hl=zh-CN&amp;curr=CNY</x:v>
      </x:c>
    </x:row>
    <x:row r="31" ht="42" customHeight="1">
      <x:c r="A31" s="85" t="n">
        <x:f>ROW()-7</x:f>
        <x:v>24</x:v>
      </x:c>
      <x:c r="B31" s="86" t="n">
        <x:v>46298</x:v>
      </x:c>
      <x:c r="C31" s="86" t="n">
        <x:v>46302</x:v>
      </x:c>
      <x:c r="D31" s="87" t="n">
        <x:v>4</x:v>
      </x:c>
      <x:c r="E31" s="88" t="str">
        <x:v>春航</x:v>
      </x:c>
      <x:c r="F31" s="88" t="str">
        <x:v>17:45</x:v>
      </x:c>
      <x:c r="G31" s="88" t="str">
        <x:v>21:30</x:v>
      </x:c>
      <x:c r="H31" s="88" t="str">
        <x:v>上海浦东国际机场</x:v>
      </x:c>
      <x:c r="I31" s="88" t="str">
        <x:v>西双版纳嘎洒国际机场</x:v>
      </x:c>
      <x:c r="J31" s="88" t="n">
        <x:v>0</x:v>
      </x:c>
      <x:c r="K31" s="88" t="str">
        <x:v>—</x:v>
      </x:c>
      <x:c r="L31" s="88" t="str">
        <x:v>3 小时 45 分钟</x:v>
      </x:c>
      <x:c r="M31" s="89" t="n">
        <x:v>3370</x:v>
      </x:c>
      <x:c r="N31" s="89" t="n">
        <x:v>350</x:v>
      </x:c>
      <x:c r="O31" s="89" t="n">
        <x:f>M31+N31</x:f>
        <x:v>3720</x:v>
      </x:c>
      <x:c r="P31" s="88" t="str">
        <x:f>IF(O31&lt;5000,"是","否")</x:f>
        <x:v>是</x:v>
      </x:c>
      <x:c r="Q31" s="90" t="str">
        <x:v>春秋低价票可能不含托运；按国内往返20kg保守预留¥350</x:v>
      </x:c>
      <x:c r="R31" s="90" t="str">
        <x:v>该去程对应的最低可订返程组合；具体返程航班需打开来源链接确认</x:v>
      </x:c>
      <x:c r="S31" s="91" t="n">
        <x:v>46267.74779550926</x:v>
      </x:c>
      <x:c r="T31" s="92" t="str">
        <x:v>https://www.google.com/travel/flights?hl=zh-CN&amp;curr=CNY&amp;q=Flights%20from%20Shanghai%20to%20JHG%20from%202026-10-03%20to%202026-10-07</x:v>
      </x:c>
      <x:c r="U31" s="136" t="n">
        <x:v>46302</x:v>
      </x:c>
      <x:c r="V31" s="90" t="str">
        <x:v>08:00</x:v>
      </x:c>
      <x:c r="W31" s="90" t="str">
        <x:v>西双版纳嘎洒国际机场</x:v>
      </x:c>
      <x:c r="X31" s="137" t="n">
        <x:v>46302</x:v>
      </x:c>
      <x:c r="Y31" s="90" t="str">
        <x:v>11:40</x:v>
      </x:c>
      <x:c r="Z31" s="90" t="str">
        <x:v>上海浦东国际机场</x:v>
      </x:c>
      <x:c r="AA31" s="90" t="str">
        <x:v>春航</x:v>
      </x:c>
      <x:c r="AB31" s="90" t="n">
        <x:v>0</x:v>
      </x:c>
      <x:c r="AC31" s="90" t="str">
        <x:v>3 小时 40 分钟</x:v>
      </x:c>
      <x:c r="AD31" s="138" t="n">
        <x:v>3370</x:v>
      </x:c>
      <x:c r="AE31" s="90" t="str">
        <x:v>匹配原始往返起价</x:v>
      </x:c>
      <x:c r="AF31" s="92" t="str">
        <x:v>https://www.google.com/travel/flights/search?tfs=CBwQAhpFEgoyMDI2LTEwLTAzIiAKA1BWRxIKMjAyNi0xMC0wMxoDSkhHKgI5QzIENzYwNWoMCAISCC9tLzA2d2pmcgcIARIDSkhHGiMSCjIwMjYtMTAtMDdqBwgBEgNKSEdyDAgCEggvbS8wNndqZkABSAFwAYIBCwj___________8BmAEB&amp;tfu=CmxDalJJZEU5VWJEQndRbVpTWVhkQlIybFJMVkZDUnkwdExTMHRMUzB0YzJWaVozSXpNMEZCUVVGQlIzRlpSRE5qU2xKcFdUWkJFZ1k1UXpjMk1EVWFDZ2lxR2hBQUdnTkRUbGs0SFhEZWh3TT0SAggAIgA&amp;hl=zh-CN&amp;curr=CNY</x:v>
      </x:c>
    </x:row>
    <x:row r="32" ht="42" customHeight="1">
      <x:c r="A32" s="85" t="n">
        <x:f>ROW()-7</x:f>
        <x:v>25</x:v>
      </x:c>
      <x:c r="B32" s="86" t="n">
        <x:v>46296</x:v>
      </x:c>
      <x:c r="C32" s="86" t="n">
        <x:v>46303</x:v>
      </x:c>
      <x:c r="D32" s="87" t="n">
        <x:v>7</x:v>
      </x:c>
      <x:c r="E32" s="88" t="str">
        <x:v>春航</x:v>
      </x:c>
      <x:c r="F32" s="88" t="str">
        <x:v>06:00</x:v>
      </x:c>
      <x:c r="G32" s="88" t="str">
        <x:v>10:00</x:v>
      </x:c>
      <x:c r="H32" s="88" t="str">
        <x:v>上海浦东国际机场</x:v>
      </x:c>
      <x:c r="I32" s="88" t="str">
        <x:v>西双版纳嘎洒国际机场</x:v>
      </x:c>
      <x:c r="J32" s="88" t="n">
        <x:v>0</x:v>
      </x:c>
      <x:c r="K32" s="88" t="str">
        <x:v>—</x:v>
      </x:c>
      <x:c r="L32" s="88" t="str">
        <x:v>4 小时</x:v>
      </x:c>
      <x:c r="M32" s="89" t="n">
        <x:v>3380</x:v>
      </x:c>
      <x:c r="N32" s="89" t="n">
        <x:v>350</x:v>
      </x:c>
      <x:c r="O32" s="89" t="n">
        <x:f>M32+N32</x:f>
        <x:v>3730</x:v>
      </x:c>
      <x:c r="P32" s="88" t="str">
        <x:f>IF(O32&lt;5000,"是","否")</x:f>
        <x:v>是</x:v>
      </x:c>
      <x:c r="Q32" s="90" t="str">
        <x:v>春秋低价票可能不含托运；按国内往返20kg保守预留¥350</x:v>
      </x:c>
      <x:c r="R32" s="90" t="str">
        <x:v>该去程对应的最低可订返程组合；具体返程航班需打开来源链接确认</x:v>
      </x:c>
      <x:c r="S32" s="91" t="n">
        <x:v>46267.74779550926</x:v>
      </x:c>
      <x:c r="T32" s="92" t="str">
        <x:v>https://www.google.com/travel/flights?hl=zh-CN&amp;curr=CNY&amp;q=Flights%20from%20Shanghai%20to%20JHG%20from%202026-10-01%20to%202026-10-08</x:v>
      </x:c>
      <x:c r="U32" s="136" t="n">
        <x:v>46303</x:v>
      </x:c>
      <x:c r="V32" s="90" t="str">
        <x:v>21:55</x:v>
      </x:c>
      <x:c r="W32" s="90" t="str">
        <x:v>西双版纳嘎洒国际机场</x:v>
      </x:c>
      <x:c r="X32" s="137" t="n">
        <x:v>46304</x:v>
      </x:c>
      <x:c r="Y32" s="90" t="str">
        <x:v>01:45</x:v>
      </x:c>
      <x:c r="Z32" s="90" t="str">
        <x:v>上海浦东国际机场</x:v>
      </x:c>
      <x:c r="AA32" s="90" t="str">
        <x:v>春航</x:v>
      </x:c>
      <x:c r="AB32" s="90" t="n">
        <x:v>0</x:v>
      </x:c>
      <x:c r="AC32" s="90" t="str">
        <x:v>3 小时 50 分钟</x:v>
      </x:c>
      <x:c r="AD32" s="138" t="n">
        <x:v>3380</x:v>
      </x:c>
      <x:c r="AE32" s="90" t="str">
        <x:v>匹配原始往返起价</x:v>
      </x:c>
      <x:c r="AF32" s="92" t="str">
        <x:v>https://www.google.com/travel/flights/search?tfs=CBwQAhpFEgoyMDI2LTEwLTAxIiAKA1BWRxIKMjAyNi0xMC0wMRoDSkhHKgI5QzIENjQ0OWoMCAISCC9tLzA2d2pmcgcIARIDSkhHGiMSCjIwMjYtMTAtMDhqBwgBEgNKSEdyDAgCEggvbS8wNndqZkABSAFwAYIBCwj___________8BmAEB&amp;tfu=CmxDalJJWkZWWlJYTm9WSE5zUkc5QlJVbzBVMUZDUnkwdExTMHRMWE50WW1aM09TMXVNVUZCUVVGQlIzRlpSRE5qU21wUGVHdEJFZ1k1UXpZME5Ea2FDZ2kwR2hBQUdnTkRUbGs0SFhEemlBTT0SAggAIgMKATA&amp;hl=zh-CN&amp;curr=CNY</x:v>
      </x:c>
    </x:row>
    <x:row r="33" ht="42" customHeight="1">
      <x:c r="A33" s="85" t="n">
        <x:f>ROW()-7</x:f>
        <x:v>26</x:v>
      </x:c>
      <x:c r="B33" s="86" t="n">
        <x:v>46296</x:v>
      </x:c>
      <x:c r="C33" s="86" t="n">
        <x:v>46300</x:v>
      </x:c>
      <x:c r="D33" s="87" t="n">
        <x:v>4</x:v>
      </x:c>
      <x:c r="E33" s="88" t="str">
        <x:v>春航</x:v>
      </x:c>
      <x:c r="F33" s="88" t="str">
        <x:v>17:10</x:v>
      </x:c>
      <x:c r="G33" s="88" t="str">
        <x:v>21:10</x:v>
      </x:c>
      <x:c r="H33" s="88" t="str">
        <x:v>上海浦东国际机场</x:v>
      </x:c>
      <x:c r="I33" s="88" t="str">
        <x:v>西双版纳嘎洒国际机场</x:v>
      </x:c>
      <x:c r="J33" s="88" t="n">
        <x:v>0</x:v>
      </x:c>
      <x:c r="K33" s="88" t="str">
        <x:v>—</x:v>
      </x:c>
      <x:c r="L33" s="88" t="str">
        <x:v>4 小时</x:v>
      </x:c>
      <x:c r="M33" s="89" t="n">
        <x:v>3470</x:v>
      </x:c>
      <x:c r="N33" s="89" t="n">
        <x:v>350</x:v>
      </x:c>
      <x:c r="O33" s="89" t="n">
        <x:f>M33+N33</x:f>
        <x:v>3820</x:v>
      </x:c>
      <x:c r="P33" s="88" t="str">
        <x:f>IF(O33&lt;5000,"是","否")</x:f>
        <x:v>是</x:v>
      </x:c>
      <x:c r="Q33" s="90" t="str">
        <x:v>春秋低价票可能不含托运；按国内往返20kg保守预留¥350</x:v>
      </x:c>
      <x:c r="R33" s="90" t="str">
        <x:v>该去程对应的最低可订返程组合；具体返程航班需打开来源链接确认</x:v>
      </x:c>
      <x:c r="S33" s="91" t="n">
        <x:v>46267.74779550926</x:v>
      </x:c>
      <x:c r="T33" s="92" t="str">
        <x:v>https://www.google.com/travel/flights?hl=zh-CN&amp;curr=CNY&amp;q=Flights%20from%20Shanghai%20to%20JHG%20from%202026-10-01%20to%202026-10-05</x:v>
      </x:c>
      <x:c r="U33" s="136" t="n">
        <x:v>46300</x:v>
      </x:c>
      <x:c r="V33" s="90" t="str">
        <x:v>08:00</x:v>
      </x:c>
      <x:c r="W33" s="90" t="str">
        <x:v>西双版纳嘎洒国际机场</x:v>
      </x:c>
      <x:c r="X33" s="137" t="n">
        <x:v>46300</x:v>
      </x:c>
      <x:c r="Y33" s="90" t="str">
        <x:v>11:40</x:v>
      </x:c>
      <x:c r="Z33" s="90" t="str">
        <x:v>上海浦东国际机场</x:v>
      </x:c>
      <x:c r="AA33" s="90" t="str">
        <x:v>春航</x:v>
      </x:c>
      <x:c r="AB33" s="90" t="n">
        <x:v>0</x:v>
      </x:c>
      <x:c r="AC33" s="90" t="str">
        <x:v>3 小时 40 分钟</x:v>
      </x:c>
      <x:c r="AD33" s="138" t="n">
        <x:v>3340</x:v>
      </x:c>
      <x:c r="AE33" s="90" t="str">
        <x:v>当前价格已变化，采用当前最低价返程</x:v>
      </x:c>
      <x:c r="AF33" s="92" t="str">
        <x:v>https://www.google.com/travel/flights/search?tfs=CBwQAhpFEgoyMDI2LTEwLTAxIiAKA1BWRxIKMjAyNi0xMC0wMRoDSkhHKgI5QzIENzYwNWoMCAISCC9tLzA2d2pmcgcIARIDSkhHGiMSCjIwMjYtMTAtMDVqBwgBEgNKSEdyDAgCEggvbS8wNndqZkABSAFwAYIBCwj___________8BmAEB&amp;tfu=CmxDalJJTFdzelFXRXhNM05FT1ZGQlJWZE5abEZDUnkwdExTMHRMUzB0TFMxelpXRmtOa0ZCUVVGQlIzRlpSRE13VDJGMFYwVkJFZ1k1UXpjMk1EVWFDZ2lNR2hBQUdnTkRUbGs0SFhDZ2hBTT0SAggAIgMKATA&amp;hl=zh-CN&amp;curr=CNY</x:v>
      </x:c>
    </x:row>
    <x:row r="34" ht="42" customHeight="1">
      <x:c r="A34" s="85" t="n">
        <x:f>ROW()-7</x:f>
        <x:v>27</x:v>
      </x:c>
      <x:c r="B34" s="86" t="n">
        <x:v>46298</x:v>
      </x:c>
      <x:c r="C34" s="86" t="n">
        <x:v>46302</x:v>
      </x:c>
      <x:c r="D34" s="87" t="n">
        <x:v>4</x:v>
      </x:c>
      <x:c r="E34" s="88" t="str">
        <x:v>春航</x:v>
      </x:c>
      <x:c r="F34" s="88" t="str">
        <x:v>06:00</x:v>
      </x:c>
      <x:c r="G34" s="88" t="str">
        <x:v>10:00</x:v>
      </x:c>
      <x:c r="H34" s="88" t="str">
        <x:v>上海浦东国际机场</x:v>
      </x:c>
      <x:c r="I34" s="88" t="str">
        <x:v>西双版纳嘎洒国际机场</x:v>
      </x:c>
      <x:c r="J34" s="88" t="n">
        <x:v>0</x:v>
      </x:c>
      <x:c r="K34" s="88" t="str">
        <x:v>—</x:v>
      </x:c>
      <x:c r="L34" s="88" t="str">
        <x:v>4 小时</x:v>
      </x:c>
      <x:c r="M34" s="89" t="n">
        <x:v>3500</x:v>
      </x:c>
      <x:c r="N34" s="89" t="n">
        <x:v>350</x:v>
      </x:c>
      <x:c r="O34" s="89" t="n">
        <x:f>M34+N34</x:f>
        <x:v>3850</x:v>
      </x:c>
      <x:c r="P34" s="88" t="str">
        <x:f>IF(O34&lt;5000,"是","否")</x:f>
        <x:v>是</x:v>
      </x:c>
      <x:c r="Q34" s="90" t="str">
        <x:v>春秋低价票可能不含托运；按国内往返20kg保守预留¥350</x:v>
      </x:c>
      <x:c r="R34" s="90" t="str">
        <x:v>该去程对应的最低可订返程组合；具体返程航班需打开来源链接确认</x:v>
      </x:c>
      <x:c r="S34" s="91" t="n">
        <x:v>46267.74779550926</x:v>
      </x:c>
      <x:c r="T34" s="92" t="str">
        <x:v>https://www.google.com/travel/flights?hl=zh-CN&amp;curr=CNY&amp;q=Flights%20from%20Shanghai%20to%20JHG%20from%202026-10-03%20to%202026-10-07</x:v>
      </x:c>
      <x:c r="U34" s="136" t="n">
        <x:v>46302</x:v>
      </x:c>
      <x:c r="V34" s="90" t="str">
        <x:v>08:00</x:v>
      </x:c>
      <x:c r="W34" s="90" t="str">
        <x:v>西双版纳嘎洒国际机场</x:v>
      </x:c>
      <x:c r="X34" s="137" t="n">
        <x:v>46302</x:v>
      </x:c>
      <x:c r="Y34" s="90" t="str">
        <x:v>11:40</x:v>
      </x:c>
      <x:c r="Z34" s="90" t="str">
        <x:v>上海浦东国际机场</x:v>
      </x:c>
      <x:c r="AA34" s="90" t="str">
        <x:v>春航</x:v>
      </x:c>
      <x:c r="AB34" s="90" t="n">
        <x:v>0</x:v>
      </x:c>
      <x:c r="AC34" s="90" t="str">
        <x:v>3 小时 40 分钟</x:v>
      </x:c>
      <x:c r="AD34" s="138" t="n">
        <x:v>3500</x:v>
      </x:c>
      <x:c r="AE34" s="90" t="str">
        <x:v>匹配原始往返起价</x:v>
      </x:c>
      <x:c r="AF34" s="92" t="str">
        <x:v>https://www.google.com/travel/flights/search?tfs=CBwQAhpFEgoyMDI2LTEwLTAzIiAKA1BWRxIKMjAyNi0xMC0wMxoDSkhHKgI5QzIENjQ0OWoMCAISCC9tLzA2d2pmcgcIARIDSkhHGiMSCjIwMjYtMTAtMDdqBwgBEgNKSEdyDAgCEggvbS8wNndqZkABSAFwAYIBCwj___________8BmAEB&amp;tfu=CmxDalJJYjBKcmNXbDVMVVZwVWtGQlJIbDBUMUZDUnkwdExTMHRMUzB0TFhOdGNHUXlNVUZCUVVGQlIzRlpSRE0wUVU1b1V6WkJFZ1k1UXpZME5Ea2FDZ2lzR3hBQUdnTkRUbGs0SFhEdGxnTT0SAggAIgA&amp;hl=zh-CN&amp;curr=CNY</x:v>
      </x:c>
    </x:row>
    <x:row r="35" ht="42" customHeight="1">
      <x:c r="A35" s="85" t="n">
        <x:f>ROW()-7</x:f>
        <x:v>28</x:v>
      </x:c>
      <x:c r="B35" s="86" t="n">
        <x:v>46296</x:v>
      </x:c>
      <x:c r="C35" s="86" t="n">
        <x:v>46301</x:v>
      </x:c>
      <x:c r="D35" s="87" t="n">
        <x:v>5</x:v>
      </x:c>
      <x:c r="E35" s="88" t="str">
        <x:v>春航</x:v>
      </x:c>
      <x:c r="F35" s="88" t="str">
        <x:v>19:10</x:v>
      </x:c>
      <x:c r="G35" s="88" t="str">
        <x:v>23:00</x:v>
      </x:c>
      <x:c r="H35" s="88" t="str">
        <x:v>上海浦东国际机场</x:v>
      </x:c>
      <x:c r="I35" s="88" t="str">
        <x:v>西双版纳嘎洒国际机场</x:v>
      </x:c>
      <x:c r="J35" s="88" t="n">
        <x:v>0</x:v>
      </x:c>
      <x:c r="K35" s="88" t="str">
        <x:v>—</x:v>
      </x:c>
      <x:c r="L35" s="88" t="str">
        <x:v>3 小时 50 分钟</x:v>
      </x:c>
      <x:c r="M35" s="89" t="n">
        <x:v>3510</x:v>
      </x:c>
      <x:c r="N35" s="89" t="n">
        <x:v>350</x:v>
      </x:c>
      <x:c r="O35" s="89" t="n">
        <x:f>M35+N35</x:f>
        <x:v>3860</x:v>
      </x:c>
      <x:c r="P35" s="88" t="str">
        <x:f>IF(O35&lt;5000,"是","否")</x:f>
        <x:v>是</x:v>
      </x:c>
      <x:c r="Q35" s="90" t="str">
        <x:v>春秋低价票可能不含托运；按国内往返20kg保守预留¥350</x:v>
      </x:c>
      <x:c r="R35" s="90" t="str">
        <x:v>该去程对应的最低可订返程组合；具体返程航班需打开来源链接确认</x:v>
      </x:c>
      <x:c r="S35" s="91" t="n">
        <x:v>46267.74779550926</x:v>
      </x:c>
      <x:c r="T35" s="92" t="str">
        <x:v>https://www.google.com/travel/flights?hl=zh-CN&amp;curr=CNY&amp;q=Flights%20from%20Shanghai%20to%20JHG%20from%202026-10-01%20to%202026-10-06</x:v>
      </x:c>
      <x:c r="U35" s="136" t="n">
        <x:v>46301</x:v>
      </x:c>
      <x:c r="V35" s="90" t="str">
        <x:v>08:00</x:v>
      </x:c>
      <x:c r="W35" s="90" t="str">
        <x:v>西双版纳嘎洒国际机场</x:v>
      </x:c>
      <x:c r="X35" s="137" t="n">
        <x:v>46301</x:v>
      </x:c>
      <x:c r="Y35" s="90" t="str">
        <x:v>11:40</x:v>
      </x:c>
      <x:c r="Z35" s="90" t="str">
        <x:v>上海浦东国际机场</x:v>
      </x:c>
      <x:c r="AA35" s="90" t="str">
        <x:v>春航</x:v>
      </x:c>
      <x:c r="AB35" s="90" t="n">
        <x:v>0</x:v>
      </x:c>
      <x:c r="AC35" s="90" t="str">
        <x:v>3 小时 40 分钟</x:v>
      </x:c>
      <x:c r="AD35" s="138" t="n">
        <x:v>3510</x:v>
      </x:c>
      <x:c r="AE35" s="90" t="str">
        <x:v>匹配原始往返起价</x:v>
      </x:c>
      <x:c r="AF35" s="92" t="str">
        <x:v>https://www.google.com/travel/flights/search?tfs=CBwQAhpFEgoyMDI2LTEwLTAxIiAKA1BWRxIKMjAyNi0xMC0wMRoDSkhHKgI5QzIENzYwN2oMCAISCC9tLzA2d2pmcgcIARIDSkhHGiMSCjIwMjYtMTAtMDZqBwgBEgNKSEdyDAgCEggvbS8wNndqZkABSAFwAYIBCwj___________8BmAEB&amp;tfu=CmxDalJJV25VMlpHdHJNMVpPY1ZsQlJVTndkVkZDUnkwdExTMHRMUzF6YlhWa015MXVNa0ZCUVVGQlIzRlpSRE13VDBWemJEWkJFZ1k1UXpjMk1EY2FDZ2kyR3hBQUdnTkRUbGs0SFhDQ21BTT0SAggAIgMKATA&amp;hl=zh-CN&amp;curr=CNY</x:v>
      </x:c>
    </x:row>
    <x:row r="36" ht="42" customHeight="1">
      <x:c r="A36" s="85" t="n">
        <x:f>ROW()-7</x:f>
        <x:v>29</x:v>
      </x:c>
      <x:c r="B36" s="86" t="n">
        <x:v>46297</x:v>
      </x:c>
      <x:c r="C36" s="86" t="n">
        <x:v>46302</x:v>
      </x:c>
      <x:c r="D36" s="87" t="n">
        <x:v>5</x:v>
      </x:c>
      <x:c r="E36" s="88" t="str">
        <x:v>春航</x:v>
      </x:c>
      <x:c r="F36" s="88" t="str">
        <x:v>19:10</x:v>
      </x:c>
      <x:c r="G36" s="88" t="str">
        <x:v>23:00</x:v>
      </x:c>
      <x:c r="H36" s="88" t="str">
        <x:v>上海浦东国际机场</x:v>
      </x:c>
      <x:c r="I36" s="88" t="str">
        <x:v>西双版纳嘎洒国际机场</x:v>
      </x:c>
      <x:c r="J36" s="88" t="n">
        <x:v>0</x:v>
      </x:c>
      <x:c r="K36" s="88" t="str">
        <x:v>—</x:v>
      </x:c>
      <x:c r="L36" s="88" t="str">
        <x:v>3 小时 50 分钟</x:v>
      </x:c>
      <x:c r="M36" s="89" t="n">
        <x:v>3630</x:v>
      </x:c>
      <x:c r="N36" s="89" t="n">
        <x:v>350</x:v>
      </x:c>
      <x:c r="O36" s="89" t="n">
        <x:f>M36+N36</x:f>
        <x:v>3980</x:v>
      </x:c>
      <x:c r="P36" s="88" t="str">
        <x:f>IF(O36&lt;5000,"是","否")</x:f>
        <x:v>是</x:v>
      </x:c>
      <x:c r="Q36" s="90" t="str">
        <x:v>春秋低价票可能不含托运；按国内往返20kg保守预留¥350</x:v>
      </x:c>
      <x:c r="R36" s="90" t="str">
        <x:v>该去程对应的最低可订返程组合；具体返程航班需打开来源链接确认</x:v>
      </x:c>
      <x:c r="S36" s="91" t="n">
        <x:v>46267.74779550926</x:v>
      </x:c>
      <x:c r="T36" s="92" t="str">
        <x:v>https://www.google.com/travel/flights?hl=zh-CN&amp;curr=CNY&amp;q=Flights%20from%20Shanghai%20to%20JHG%20from%202026-10-02%20to%202026-10-07</x:v>
      </x:c>
      <x:c r="U36" s="136" t="n">
        <x:v>46302</x:v>
      </x:c>
      <x:c r="V36" s="90" t="str">
        <x:v>08:00</x:v>
      </x:c>
      <x:c r="W36" s="90" t="str">
        <x:v>西双版纳嘎洒国际机场</x:v>
      </x:c>
      <x:c r="X36" s="137" t="n">
        <x:v>46302</x:v>
      </x:c>
      <x:c r="Y36" s="90" t="str">
        <x:v>11:40</x:v>
      </x:c>
      <x:c r="Z36" s="90" t="str">
        <x:v>上海浦东国际机场</x:v>
      </x:c>
      <x:c r="AA36" s="90" t="str">
        <x:v>春航</x:v>
      </x:c>
      <x:c r="AB36" s="90" t="n">
        <x:v>0</x:v>
      </x:c>
      <x:c r="AC36" s="90" t="str">
        <x:v>3 小时 40 分钟</x:v>
      </x:c>
      <x:c r="AD36" s="138" t="n">
        <x:v>3760</x:v>
      </x:c>
      <x:c r="AE36" s="90" t="str">
        <x:v>当前价格已变化，采用当前最低价返程</x:v>
      </x:c>
      <x:c r="AF36" s="92" t="str">
        <x:v>https://www.google.com/travel/flights/search?tfs=CBwQAhpFEgoyMDI2LTEwLTAyIiAKA1BWRxIKMjAyNi0xMC0wMhoDSkhHKgI5QzIENzYwN2oMCAISCC9tLzA2d2pmcgcIARIDSkhHGiMSCjIwMjYtMTAtMDdqBwgBEgNKSEdyDAgCEggvbS8wNndqZkABSAFwAYIBCwj___________8BmAEB&amp;tfu=CmxDalJJVTFCd2FUaFNTbWhxVTBsQlJXRTNlRUZDUnkwdExTMHRMUzB0YzIxck1TMXVNVUZCUVVGQlIzRlpSRE0wUVhSUFYxTkJFZ1k1UXpjMk1EY2FDZ2l3SFJBQUdnTkRUbGs0SFhDSnRRTT0SAggAIgMKATA&amp;hl=zh-CN&amp;curr=CNY</x:v>
      </x:c>
    </x:row>
    <x:row r="37" ht="42" customHeight="1">
      <x:c r="A37" s="85" t="n">
        <x:f>ROW()-7</x:f>
        <x:v>30</x:v>
      </x:c>
      <x:c r="B37" s="86" t="n">
        <x:v>46296</x:v>
      </x:c>
      <x:c r="C37" s="86" t="n">
        <x:v>46300</x:v>
      </x:c>
      <x:c r="D37" s="87" t="n">
        <x:v>4</x:v>
      </x:c>
      <x:c r="E37" s="88" t="str">
        <x:v>春航</x:v>
      </x:c>
      <x:c r="F37" s="88" t="str">
        <x:v>06:00</x:v>
      </x:c>
      <x:c r="G37" s="88" t="str">
        <x:v>10:00</x:v>
      </x:c>
      <x:c r="H37" s="88" t="str">
        <x:v>上海浦东国际机场</x:v>
      </x:c>
      <x:c r="I37" s="88" t="str">
        <x:v>西双版纳嘎洒国际机场</x:v>
      </x:c>
      <x:c r="J37" s="88" t="n">
        <x:v>0</x:v>
      </x:c>
      <x:c r="K37" s="88" t="str">
        <x:v>—</x:v>
      </x:c>
      <x:c r="L37" s="88" t="str">
        <x:v>4 小时</x:v>
      </x:c>
      <x:c r="M37" s="89" t="n">
        <x:v>3780</x:v>
      </x:c>
      <x:c r="N37" s="89" t="n">
        <x:v>350</x:v>
      </x:c>
      <x:c r="O37" s="89" t="n">
        <x:f>M37+N37</x:f>
        <x:v>4130</x:v>
      </x:c>
      <x:c r="P37" s="88" t="str">
        <x:f>IF(O37&lt;5000,"是","否")</x:f>
        <x:v>是</x:v>
      </x:c>
      <x:c r="Q37" s="90" t="str">
        <x:v>春秋低价票可能不含托运；按国内往返20kg保守预留¥350</x:v>
      </x:c>
      <x:c r="R37" s="90" t="str">
        <x:v>该去程对应的最低可订返程组合；具体返程航班需打开来源链接确认</x:v>
      </x:c>
      <x:c r="S37" s="91" t="n">
        <x:v>46267.74779550926</x:v>
      </x:c>
      <x:c r="T37" s="92" t="str">
        <x:v>https://www.google.com/travel/flights?hl=zh-CN&amp;curr=CNY&amp;q=Flights%20from%20Shanghai%20to%20JHG%20from%202026-10-01%20to%202026-10-05</x:v>
      </x:c>
      <x:c r="U37" s="136" t="n">
        <x:v>46300</x:v>
      </x:c>
      <x:c r="V37" s="90" t="str">
        <x:v>08:00</x:v>
      </x:c>
      <x:c r="W37" s="90" t="str">
        <x:v>西双版纳嘎洒国际机场</x:v>
      </x:c>
      <x:c r="X37" s="137" t="n">
        <x:v>46300</x:v>
      </x:c>
      <x:c r="Y37" s="90" t="str">
        <x:v>11:40</x:v>
      </x:c>
      <x:c r="Z37" s="90" t="str">
        <x:v>上海浦东国际机场</x:v>
      </x:c>
      <x:c r="AA37" s="90" t="str">
        <x:v>春航</x:v>
      </x:c>
      <x:c r="AB37" s="90" t="n">
        <x:v>0</x:v>
      </x:c>
      <x:c r="AC37" s="90" t="str">
        <x:v>3 小时 40 分钟</x:v>
      </x:c>
      <x:c r="AD37" s="138" t="n">
        <x:v>3650</x:v>
      </x:c>
      <x:c r="AE37" s="90" t="str">
        <x:v>当前价格已变化，采用当前最低价返程</x:v>
      </x:c>
      <x:c r="AF37" s="92" t="str">
        <x:v>https://www.google.com/travel/flights/search?tfs=CBwQAhpFEgoyMDI2LTEwLTAxIiAKA1BWRxIKMjAyNi0xMC0wMRoDSkhHKgI5QzIENjQ0OWoMCAISCC9tLzA2d2pmcgcIARIDSkhHGiMSCjIwMjYtMTAtMDVqBwgBEgNKSEdyDAgCEggvbS8wNndqZkABSAFwAYIBCwj___________8BmAEB&amp;tfu=CmxDalJJTlU5V1JHUmlTbE5GWkVsQlEyZEVRV2RDUnkwdExTMHRMUzB0YzJWaVluRXlOa0ZCUVVGQlIzRlpSRFJOU2xGVFNVMUJFZ1k1UXpZME5Ea2FDZ2pDSEJBQUdnTkRUbGs0SFhDbHFBTT0SAggAIgMKATA&amp;hl=zh-CN&amp;curr=CNY</x:v>
      </x:c>
    </x:row>
    <x:row r="38" ht="42" customHeight="1">
      <x:c r="A38" s="85" t="n">
        <x:f>ROW()-7</x:f>
        <x:v>31</x:v>
      </x:c>
      <x:c r="B38" s="86" t="n">
        <x:v>46296</x:v>
      </x:c>
      <x:c r="C38" s="86" t="n">
        <x:v>46301</x:v>
      </x:c>
      <x:c r="D38" s="87" t="n">
        <x:v>5</x:v>
      </x:c>
      <x:c r="E38" s="88" t="str">
        <x:v>春航</x:v>
      </x:c>
      <x:c r="F38" s="88" t="str">
        <x:v>17:10</x:v>
      </x:c>
      <x:c r="G38" s="88" t="str">
        <x:v>21:10</x:v>
      </x:c>
      <x:c r="H38" s="88" t="str">
        <x:v>上海浦东国际机场</x:v>
      </x:c>
      <x:c r="I38" s="88" t="str">
        <x:v>西双版纳嘎洒国际机场</x:v>
      </x:c>
      <x:c r="J38" s="88" t="n">
        <x:v>0</x:v>
      </x:c>
      <x:c r="K38" s="88" t="str">
        <x:v>—</x:v>
      </x:c>
      <x:c r="L38" s="88" t="str">
        <x:v>4 小时</x:v>
      </x:c>
      <x:c r="M38" s="89" t="n">
        <x:v>3850</x:v>
      </x:c>
      <x:c r="N38" s="89" t="n">
        <x:v>350</x:v>
      </x:c>
      <x:c r="O38" s="89" t="n">
        <x:f>M38+N38</x:f>
        <x:v>4200</x:v>
      </x:c>
      <x:c r="P38" s="88" t="str">
        <x:f>IF(O38&lt;5000,"是","否")</x:f>
        <x:v>是</x:v>
      </x:c>
      <x:c r="Q38" s="90" t="str">
        <x:v>春秋低价票可能不含托运；按国内往返20kg保守预留¥350</x:v>
      </x:c>
      <x:c r="R38" s="90" t="str">
        <x:v>该去程对应的最低可订返程组合；具体返程航班需打开来源链接确认</x:v>
      </x:c>
      <x:c r="S38" s="91" t="n">
        <x:v>46267.74779550926</x:v>
      </x:c>
      <x:c r="T38" s="92" t="str">
        <x:v>https://www.google.com/travel/flights?hl=zh-CN&amp;curr=CNY&amp;q=Flights%20from%20Shanghai%20to%20JHG%20from%202026-10-01%20to%202026-10-06</x:v>
      </x:c>
      <x:c r="U38" s="136" t="n">
        <x:v>46301</x:v>
      </x:c>
      <x:c r="V38" s="90" t="str">
        <x:v>08:00</x:v>
      </x:c>
      <x:c r="W38" s="90" t="str">
        <x:v>西双版纳嘎洒国际机场</x:v>
      </x:c>
      <x:c r="X38" s="137" t="n">
        <x:v>46301</x:v>
      </x:c>
      <x:c r="Y38" s="90" t="str">
        <x:v>11:40</x:v>
      </x:c>
      <x:c r="Z38" s="90" t="str">
        <x:v>上海浦东国际机场</x:v>
      </x:c>
      <x:c r="AA38" s="90" t="str">
        <x:v>春航</x:v>
      </x:c>
      <x:c r="AB38" s="90" t="n">
        <x:v>0</x:v>
      </x:c>
      <x:c r="AC38" s="90" t="str">
        <x:v>3 小时 40 分钟</x:v>
      </x:c>
      <x:c r="AD38" s="138" t="n">
        <x:v>3850</x:v>
      </x:c>
      <x:c r="AE38" s="90" t="str">
        <x:v>匹配原始往返起价</x:v>
      </x:c>
      <x:c r="AF38" s="92" t="str">
        <x:v>https://www.google.com/travel/flights/search?tfs=CBwQAhpFEgoyMDI2LTEwLTAxIiAKA1BWRxIKMjAyNi0xMC0wMRoDSkhHKgI5QzIENzYwNWoMCAISCC9tLzA2d2pmcgcIARIDSkhHGiMSCjIwMjYtMTAtMDZqBwgBEgNKSEdyDAgCEggvbS8wNndqZkABSAFwAYIBCwj___________8BmAEB&amp;tfu=CmxDalJJWmsxS2JWQnVWblJPWkc5QlJVRnJaVUZDUnkwdExTMHRMWE50ZFdNeU5DMXVNa0ZCUVVGQlIzRlpSRFJOU2tSSE0yTkJFZ1k1UXpjMk1EVWFDZ2lLSGhBQUdnTkRUbGs0SFhERXZ3TT0SAggAIgMKATA&amp;hl=zh-CN&amp;curr=CNY</x:v>
      </x:c>
    </x:row>
    <x:row r="39" ht="42" customHeight="1">
      <x:c r="A39" s="85" t="n">
        <x:f>ROW()-7</x:f>
        <x:v>32</x:v>
      </x:c>
      <x:c r="B39" s="86" t="n">
        <x:v>46296</x:v>
      </x:c>
      <x:c r="C39" s="86" t="n">
        <x:v>46302</x:v>
      </x:c>
      <x:c r="D39" s="87" t="n">
        <x:v>6</x:v>
      </x:c>
      <x:c r="E39" s="88" t="str">
        <x:v>春航</x:v>
      </x:c>
      <x:c r="F39" s="88" t="str">
        <x:v>19:10</x:v>
      </x:c>
      <x:c r="G39" s="88" t="str">
        <x:v>23:00</x:v>
      </x:c>
      <x:c r="H39" s="88" t="str">
        <x:v>上海浦东国际机场</x:v>
      </x:c>
      <x:c r="I39" s="88" t="str">
        <x:v>西双版纳嘎洒国际机场</x:v>
      </x:c>
      <x:c r="J39" s="88" t="n">
        <x:v>0</x:v>
      </x:c>
      <x:c r="K39" s="88" t="str">
        <x:v>—</x:v>
      </x:c>
      <x:c r="L39" s="88" t="str">
        <x:v>3 小时 50 分钟</x:v>
      </x:c>
      <x:c r="M39" s="89" t="n">
        <x:v>3890</x:v>
      </x:c>
      <x:c r="N39" s="89" t="n">
        <x:v>350</x:v>
      </x:c>
      <x:c r="O39" s="89" t="n">
        <x:f>M39+N39</x:f>
        <x:v>4240</x:v>
      </x:c>
      <x:c r="P39" s="88" t="str">
        <x:f>IF(O39&lt;5000,"是","否")</x:f>
        <x:v>是</x:v>
      </x:c>
      <x:c r="Q39" s="90" t="str">
        <x:v>春秋低价票可能不含托运；按国内往返20kg保守预留¥350</x:v>
      </x:c>
      <x:c r="R39" s="90" t="str">
        <x:v>该去程对应的最低可订返程组合；具体返程航班需打开来源链接确认</x:v>
      </x:c>
      <x:c r="S39" s="91" t="n">
        <x:v>46267.74779550926</x:v>
      </x:c>
      <x:c r="T39" s="92" t="str">
        <x:v>https://www.google.com/travel/flights?hl=zh-CN&amp;curr=CNY&amp;q=Flights%20from%20Shanghai%20to%20JHG%20from%202026-10-01%20to%202026-10-07</x:v>
      </x:c>
      <x:c r="U39" s="136" t="n">
        <x:v>46302</x:v>
      </x:c>
      <x:c r="V39" s="90" t="str">
        <x:v>08:00</x:v>
      </x:c>
      <x:c r="W39" s="90" t="str">
        <x:v>西双版纳嘎洒国际机场</x:v>
      </x:c>
      <x:c r="X39" s="137" t="n">
        <x:v>46302</x:v>
      </x:c>
      <x:c r="Y39" s="90" t="str">
        <x:v>11:40</x:v>
      </x:c>
      <x:c r="Z39" s="90" t="str">
        <x:v>上海浦东国际机场</x:v>
      </x:c>
      <x:c r="AA39" s="90" t="str">
        <x:v>春航</x:v>
      </x:c>
      <x:c r="AB39" s="90" t="n">
        <x:v>0</x:v>
      </x:c>
      <x:c r="AC39" s="90" t="str">
        <x:v>3 小时 40 分钟</x:v>
      </x:c>
      <x:c r="AD39" s="138" t="n">
        <x:v>3890</x:v>
      </x:c>
      <x:c r="AE39" s="90" t="str">
        <x:v>匹配原始往返起价</x:v>
      </x:c>
      <x:c r="AF39" s="92" t="str">
        <x:v>https://www.google.com/travel/flights/search?tfs=CBwQAhpFEgoyMDI2LTEwLTAxIiAKA1BWRxIKMjAyNi0xMC0wMRoDSkhHKgI5QzIENzYwN2oMCAISCC9tLzA2d2pmcgcIARIDSkhHGiMSCjIwMjYtMTAtMDdqBwgBEgNKSEdyDAgCEggvbS8wNndqZkABSAFwAYIBCwj___________8BmAEB&amp;tfu=CmxDalJJWmsxS2JWQnVWblJPWkc5QlJVRnJaVkZDUnkwdExTMHRMWE50ZFdNeU5DMXVNa0ZCUVVGQlIzRlpSRFJOU2sxTk1XbEJFZ1k1UXpjMk1EY2FDZ2l5SGhBQUdnTkRUbGs0SFhDWXhBTT0SAggAIgMKATA&amp;hl=zh-CN&amp;curr=CNY</x:v>
      </x:c>
    </x:row>
    <x:row r="40" ht="42" customHeight="1">
      <x:c r="A40" s="85" t="n">
        <x:f>ROW()-7</x:f>
        <x:v>33</x:v>
      </x:c>
      <x:c r="B40" s="86" t="n">
        <x:v>46297</x:v>
      </x:c>
      <x:c r="C40" s="86" t="n">
        <x:v>46301</x:v>
      </x:c>
      <x:c r="D40" s="87" t="n">
        <x:v>4</x:v>
      </x:c>
      <x:c r="E40" s="88" t="str">
        <x:v>春航</x:v>
      </x:c>
      <x:c r="F40" s="88" t="str">
        <x:v>06:00</x:v>
      </x:c>
      <x:c r="G40" s="88" t="str">
        <x:v>10:00</x:v>
      </x:c>
      <x:c r="H40" s="88" t="str">
        <x:v>上海浦东国际机场</x:v>
      </x:c>
      <x:c r="I40" s="88" t="str">
        <x:v>西双版纳嘎洒国际机场</x:v>
      </x:c>
      <x:c r="J40" s="88" t="n">
        <x:v>0</x:v>
      </x:c>
      <x:c r="K40" s="88" t="str">
        <x:v>—</x:v>
      </x:c>
      <x:c r="L40" s="88" t="str">
        <x:v>4 小时</x:v>
      </x:c>
      <x:c r="M40" s="89" t="n">
        <x:v>3910</x:v>
      </x:c>
      <x:c r="N40" s="89" t="n">
        <x:v>350</x:v>
      </x:c>
      <x:c r="O40" s="89" t="n">
        <x:f>M40+N40</x:f>
        <x:v>4260</x:v>
      </x:c>
      <x:c r="P40" s="88" t="str">
        <x:f>IF(O40&lt;5000,"是","否")</x:f>
        <x:v>是</x:v>
      </x:c>
      <x:c r="Q40" s="90" t="str">
        <x:v>春秋低价票可能不含托运；按国内往返20kg保守预留¥350</x:v>
      </x:c>
      <x:c r="R40" s="90" t="str">
        <x:v>该去程对应的最低可订返程组合；具体返程航班需打开来源链接确认</x:v>
      </x:c>
      <x:c r="S40" s="91" t="n">
        <x:v>46267.74779550926</x:v>
      </x:c>
      <x:c r="T40" s="92" t="str">
        <x:v>https://www.google.com/travel/flights?hl=zh-CN&amp;curr=CNY&amp;q=Flights%20from%20Shanghai%20to%20JHG%20from%202026-10-02%20to%202026-10-06</x:v>
      </x:c>
      <x:c r="U40" s="136" t="n">
        <x:v>46301</x:v>
      </x:c>
      <x:c r="V40" s="90" t="str">
        <x:v>08:00</x:v>
      </x:c>
      <x:c r="W40" s="90" t="str">
        <x:v>西双版纳嘎洒国际机场</x:v>
      </x:c>
      <x:c r="X40" s="137" t="n">
        <x:v>46301</x:v>
      </x:c>
      <x:c r="Y40" s="90" t="str">
        <x:v>11:40</x:v>
      </x:c>
      <x:c r="Z40" s="90" t="str">
        <x:v>上海浦东国际机场</x:v>
      </x:c>
      <x:c r="AA40" s="90" t="str">
        <x:v>春航</x:v>
      </x:c>
      <x:c r="AB40" s="90" t="n">
        <x:v>0</x:v>
      </x:c>
      <x:c r="AC40" s="90" t="str">
        <x:v>3 小时 40 分钟</x:v>
      </x:c>
      <x:c r="AD40" s="138" t="n">
        <x:v>3850</x:v>
      </x:c>
      <x:c r="AE40" s="90" t="str">
        <x:v>当前价格已变化，采用当前最低价返程</x:v>
      </x:c>
      <x:c r="AF40" s="92" t="str">
        <x:v>https://www.google.com/travel/flights/search?tfs=CBwQAhpFEgoyMDI2LTEwLTAyIiAKA1BWRxIKMjAyNi0xMC0wMhoDSkhHKgI5QzIENjQ0OWoMCAISCC9tLzA2d2pmcgcIARIDSkhHGiMSCjIwMjYtMTAtMDZqBwgBEgNKSEdyDAgCEggvbS8wNndqZkABSAFwAYIBCwj___________8BmAEB&amp;tfu=CmxDalJJTjI1cVh5MTFabXBWVjI5QlJYQnlRV2RDUnkwdExTMHRMWE5sZEc0eU5pMXVNVUZCUVVGQlIzRlpSRFJOUzI5MGNrbEJFZ1k1UXpZME5Ea2FDZ2lLSGhBQUdnTkRUbGs0SFhERXZ3TT0SAggAIgMKATA&amp;hl=zh-CN&amp;curr=CNY</x:v>
      </x:c>
    </x:row>
    <x:row r="41" ht="42" customHeight="1">
      <x:c r="A41" s="85" t="n">
        <x:f>ROW()-7</x:f>
        <x:v>34</x:v>
      </x:c>
      <x:c r="B41" s="86" t="n">
        <x:v>46296</x:v>
      </x:c>
      <x:c r="C41" s="86" t="n">
        <x:v>46301</x:v>
      </x:c>
      <x:c r="D41" s="87" t="n">
        <x:v>5</x:v>
      </x:c>
      <x:c r="E41" s="88" t="str">
        <x:v>春航</x:v>
      </x:c>
      <x:c r="F41" s="88" t="str">
        <x:v>06:00</x:v>
      </x:c>
      <x:c r="G41" s="88" t="str">
        <x:v>10:00</x:v>
      </x:c>
      <x:c r="H41" s="88" t="str">
        <x:v>上海浦东国际机场</x:v>
      </x:c>
      <x:c r="I41" s="88" t="str">
        <x:v>西双版纳嘎洒国际机场</x:v>
      </x:c>
      <x:c r="J41" s="88" t="n">
        <x:v>0</x:v>
      </x:c>
      <x:c r="K41" s="88" t="str">
        <x:v>—</x:v>
      </x:c>
      <x:c r="L41" s="88" t="str">
        <x:v>4 小时</x:v>
      </x:c>
      <x:c r="M41" s="89" t="n">
        <x:v>4160</x:v>
      </x:c>
      <x:c r="N41" s="89" t="n">
        <x:v>350</x:v>
      </x:c>
      <x:c r="O41" s="89" t="n">
        <x:f>M41+N41</x:f>
        <x:v>4510</x:v>
      </x:c>
      <x:c r="P41" s="88" t="str">
        <x:f>IF(O41&lt;5000,"是","否")</x:f>
        <x:v>是</x:v>
      </x:c>
      <x:c r="Q41" s="90" t="str">
        <x:v>春秋低价票可能不含托运；按国内往返20kg保守预留¥350</x:v>
      </x:c>
      <x:c r="R41" s="90" t="str">
        <x:v>该去程对应的最低可订返程组合；具体返程航班需打开来源链接确认</x:v>
      </x:c>
      <x:c r="S41" s="91" t="n">
        <x:v>46267.74779550926</x:v>
      </x:c>
      <x:c r="T41" s="92" t="str">
        <x:v>https://www.google.com/travel/flights?hl=zh-CN&amp;curr=CNY&amp;q=Flights%20from%20Shanghai%20to%20JHG%20from%202026-10-01%20to%202026-10-06</x:v>
      </x:c>
      <x:c r="U41" s="136" t="n">
        <x:v>46301</x:v>
      </x:c>
      <x:c r="V41" s="90" t="str">
        <x:v>08:00</x:v>
      </x:c>
      <x:c r="W41" s="90" t="str">
        <x:v>西双版纳嘎洒国际机场</x:v>
      </x:c>
      <x:c r="X41" s="137" t="n">
        <x:v>46301</x:v>
      </x:c>
      <x:c r="Y41" s="90" t="str">
        <x:v>11:40</x:v>
      </x:c>
      <x:c r="Z41" s="90" t="str">
        <x:v>上海浦东国际机场</x:v>
      </x:c>
      <x:c r="AA41" s="90" t="str">
        <x:v>春航</x:v>
      </x:c>
      <x:c r="AB41" s="90" t="n">
        <x:v>0</x:v>
      </x:c>
      <x:c r="AC41" s="90" t="str">
        <x:v>3 小时 40 分钟</x:v>
      </x:c>
      <x:c r="AD41" s="138" t="n">
        <x:v>4160</x:v>
      </x:c>
      <x:c r="AE41" s="90" t="str">
        <x:v>匹配原始往返起价</x:v>
      </x:c>
      <x:c r="AF41" s="92" t="str">
        <x:v>https://www.google.com/travel/flights/search?tfs=CBwQAhpFEgoyMDI2LTEwLTAxIiAKA1BWRxIKMjAyNi0xMC0wMRoDSkhHKgI5QzIENjQ0OWoMCAISCC9tLzA2d2pmcgcIARIDSkhHGiMSCjIwMjYtMTAtMDZqBwgBEgNKSEdyDAgCEggvbS8wNndqZkABSAFwAYIBCwj___________8BmAEB&amp;tfu=CmxDalJJZEU5VWJEQndRbVpTWVhkQlIybFpPVkZDUnkwdExTMHRMUzB0YzJWaVozSXpNMEZCUVVGQlIzRlpSRFJyUjE5QlZtMUJFZ1k1UXpZME5Ea2FDZ2pBSUJBQUdnTkRUbGs0SFhESjR3TT0SAggAIgMKATA&amp;hl=zh-CN&amp;curr=CNY</x:v>
      </x:c>
    </x:row>
    <x:row r="42" ht="42" customHeight="1">
      <x:c r="A42" s="85" t="n">
        <x:f>ROW()-7</x:f>
        <x:v>35</x:v>
      </x:c>
      <x:c r="B42" s="86" t="n">
        <x:v>46296</x:v>
      </x:c>
      <x:c r="C42" s="86" t="n">
        <x:v>46302</x:v>
      </x:c>
      <x:c r="D42" s="87" t="n">
        <x:v>6</x:v>
      </x:c>
      <x:c r="E42" s="88" t="str">
        <x:v>春航</x:v>
      </x:c>
      <x:c r="F42" s="88" t="str">
        <x:v>17:10</x:v>
      </x:c>
      <x:c r="G42" s="88" t="str">
        <x:v>21:10</x:v>
      </x:c>
      <x:c r="H42" s="88" t="str">
        <x:v>上海浦东国际机场</x:v>
      </x:c>
      <x:c r="I42" s="88" t="str">
        <x:v>西双版纳嘎洒国际机场</x:v>
      </x:c>
      <x:c r="J42" s="88" t="n">
        <x:v>0</x:v>
      </x:c>
      <x:c r="K42" s="88" t="str">
        <x:v>—</x:v>
      </x:c>
      <x:c r="L42" s="88" t="str">
        <x:v>4 小时</x:v>
      </x:c>
      <x:c r="M42" s="89" t="n">
        <x:v>4230</x:v>
      </x:c>
      <x:c r="N42" s="89" t="n">
        <x:v>350</x:v>
      </x:c>
      <x:c r="O42" s="89" t="n">
        <x:f>M42+N42</x:f>
        <x:v>4580</x:v>
      </x:c>
      <x:c r="P42" s="88" t="str">
        <x:f>IF(O42&lt;5000,"是","否")</x:f>
        <x:v>是</x:v>
      </x:c>
      <x:c r="Q42" s="90" t="str">
        <x:v>春秋低价票可能不含托运；按国内往返20kg保守预留¥350</x:v>
      </x:c>
      <x:c r="R42" s="90" t="str">
        <x:v>该去程对应的最低可订返程组合；具体返程航班需打开来源链接确认</x:v>
      </x:c>
      <x:c r="S42" s="91" t="n">
        <x:v>46267.74779550926</x:v>
      </x:c>
      <x:c r="T42" s="92" t="str">
        <x:v>https://www.google.com/travel/flights?hl=zh-CN&amp;curr=CNY&amp;q=Flights%20from%20Shanghai%20to%20JHG%20from%202026-10-01%20to%202026-10-07</x:v>
      </x:c>
      <x:c r="U42" s="136" t="n">
        <x:v>46302</x:v>
      </x:c>
      <x:c r="V42" s="90" t="str">
        <x:v>08:00</x:v>
      </x:c>
      <x:c r="W42" s="90" t="str">
        <x:v>西双版纳嘎洒国际机场</x:v>
      </x:c>
      <x:c r="X42" s="137" t="n">
        <x:v>46302</x:v>
      </x:c>
      <x:c r="Y42" s="90" t="str">
        <x:v>11:40</x:v>
      </x:c>
      <x:c r="Z42" s="90" t="str">
        <x:v>上海浦东国际机场</x:v>
      </x:c>
      <x:c r="AA42" s="90" t="str">
        <x:v>春航</x:v>
      </x:c>
      <x:c r="AB42" s="90" t="n">
        <x:v>0</x:v>
      </x:c>
      <x:c r="AC42" s="90" t="str">
        <x:v>3 小时 40 分钟</x:v>
      </x:c>
      <x:c r="AD42" s="138" t="n">
        <x:v>4230</x:v>
      </x:c>
      <x:c r="AE42" s="90" t="str">
        <x:v>匹配原始往返起价</x:v>
      </x:c>
      <x:c r="AF42" s="92" t="str">
        <x:v>https://www.google.com/travel/flights/search?tfs=CBwQAhpFEgoyMDI2LTEwLTAxIiAKA1BWRxIKMjAyNi0xMC0wMRoDSkhHKgI5QzIENzYwNWoMCAISCC9tLzA2d2pmcgcIARIDSkhHGiMSCjIwMjYtMTAtMDdqBwgBEgNKSEdyDAgCEggvbS8wNndqZkABSAFwAYIBCwj___________8BmAEB&amp;tfu=CmxDalJJYjBKcmNXbDVMVVZwVWtGQlJIbDNkM2RDUnkwdExTMHRMUzB0TFhOdGNHUXlNVUZCUVVGQlIzRlpSRFJyU0ZSbmJDMUJFZ1k1UXpjMk1EVWFDZ2lHSVJBQUdnTkRUbGs0SFhEYTZ3TT0SAggAIgMKATA&amp;hl=zh-CN&amp;curr=CNY</x:v>
      </x:c>
    </x:row>
    <x:row r="43" ht="42" customHeight="1">
      <x:c r="A43" s="85" t="n">
        <x:f>ROW()-7</x:f>
        <x:v>36</x:v>
      </x:c>
      <x:c r="B43" s="86" t="n">
        <x:v>46297</x:v>
      </x:c>
      <x:c r="C43" s="86" t="n">
        <x:v>46302</x:v>
      </x:c>
      <x:c r="D43" s="87" t="n">
        <x:v>5</x:v>
      </x:c>
      <x:c r="E43" s="88" t="str">
        <x:v>春航</x:v>
      </x:c>
      <x:c r="F43" s="88" t="str">
        <x:v>06:00</x:v>
      </x:c>
      <x:c r="G43" s="88" t="str">
        <x:v>10:00</x:v>
      </x:c>
      <x:c r="H43" s="88" t="str">
        <x:v>上海浦东国际机场</x:v>
      </x:c>
      <x:c r="I43" s="88" t="str">
        <x:v>西双版纳嘎洒国际机场</x:v>
      </x:c>
      <x:c r="J43" s="88" t="n">
        <x:v>0</x:v>
      </x:c>
      <x:c r="K43" s="88" t="str">
        <x:v>—</x:v>
      </x:c>
      <x:c r="L43" s="88" t="str">
        <x:v>4 小时</x:v>
      </x:c>
      <x:c r="M43" s="89" t="n">
        <x:v>4290</x:v>
      </x:c>
      <x:c r="N43" s="89" t="n">
        <x:v>350</x:v>
      </x:c>
      <x:c r="O43" s="89" t="n">
        <x:f>M43+N43</x:f>
        <x:v>4640</x:v>
      </x:c>
      <x:c r="P43" s="88" t="str">
        <x:f>IF(O43&lt;5000,"是","否")</x:f>
        <x:v>是</x:v>
      </x:c>
      <x:c r="Q43" s="90" t="str">
        <x:v>春秋低价票可能不含托运；按国内往返20kg保守预留¥350</x:v>
      </x:c>
      <x:c r="R43" s="90" t="str">
        <x:v>该去程对应的最低可订返程组合；具体返程航班需打开来源链接确认</x:v>
      </x:c>
      <x:c r="S43" s="91" t="n">
        <x:v>46267.74779550926</x:v>
      </x:c>
      <x:c r="T43" s="92" t="str">
        <x:v>https://www.google.com/travel/flights?hl=zh-CN&amp;curr=CNY&amp;q=Flights%20from%20Shanghai%20to%20JHG%20from%202026-10-02%20to%202026-10-07</x:v>
      </x:c>
      <x:c r="U43" s="136" t="n">
        <x:v>46302</x:v>
      </x:c>
      <x:c r="V43" s="90" t="str">
        <x:v>08:00</x:v>
      </x:c>
      <x:c r="W43" s="90" t="str">
        <x:v>西双版纳嘎洒国际机场</x:v>
      </x:c>
      <x:c r="X43" s="137" t="n">
        <x:v>46302</x:v>
      </x:c>
      <x:c r="Y43" s="90" t="str">
        <x:v>11:40</x:v>
      </x:c>
      <x:c r="Z43" s="90" t="str">
        <x:v>上海浦东国际机场</x:v>
      </x:c>
      <x:c r="AA43" s="90" t="str">
        <x:v>春航</x:v>
      </x:c>
      <x:c r="AB43" s="90" t="n">
        <x:v>0</x:v>
      </x:c>
      <x:c r="AC43" s="90" t="str">
        <x:v>3 小时 40 分钟</x:v>
      </x:c>
      <x:c r="AD43" s="138" t="n">
        <x:v>4230</x:v>
      </x:c>
      <x:c r="AE43" s="90" t="str">
        <x:v>当前价格已变化，采用当前最低价返程</x:v>
      </x:c>
      <x:c r="AF43" s="92" t="str">
        <x:v>https://www.google.com/travel/flights/search?tfs=CBwQAhpFEgoyMDI2LTEwLTAyIiAKA1BWRxIKMjAyNi0xMC0wMhoDSkhHKgI5QzIENjQ0OWoMCAISCC9tLzA2d2pmcgcIARIDSkhHGiMSCjIwMjYtMTAtMDdqBwgBEgNKSEdyDAgCEggvbS8wNndqZkABSAFwAYIBCwj___________8BmAEB&amp;tfu=CmxDalJJTjI1cVh5MTFabXBWVjI5QlJYQjBZMUZDUnkwdExTMHRMWE5sZEc0eU5pMXVNVUZCUVVGQlIzRlpSRFJyUmw5cFNrbEJFZ1k1UXpZME5Ea2FDZ2lHSVJBQUdnTkRUbGs0SFhEYTZ3TT0SAggAIgMKATA&amp;hl=zh-CN&amp;curr=CNY</x:v>
      </x:c>
    </x:row>
    <x:row r="44" ht="42" customHeight="1">
      <x:c r="A44" s="85" t="n">
        <x:f>ROW()-7</x:f>
        <x:v>37</x:v>
      </x:c>
      <x:c r="B44" s="86" t="n">
        <x:v>46297</x:v>
      </x:c>
      <x:c r="C44" s="86" t="n">
        <x:v>46301</x:v>
      </x:c>
      <x:c r="D44" s="87" t="n">
        <x:v>4</x:v>
      </x:c>
      <x:c r="E44" s="88" t="str">
        <x:v>吉祥航空</x:v>
      </x:c>
      <x:c r="F44" s="88" t="str">
        <x:v>15:40</x:v>
      </x:c>
      <x:c r="G44" s="88" t="str">
        <x:v>19:30</x:v>
      </x:c>
      <x:c r="H44" s="88" t="str">
        <x:v>上海浦东国际机场</x:v>
      </x:c>
      <x:c r="I44" s="88" t="str">
        <x:v>西双版纳嘎洒国际机场</x:v>
      </x:c>
      <x:c r="J44" s="88" t="n">
        <x:v>0</x:v>
      </x:c>
      <x:c r="K44" s="88" t="str">
        <x:v>—</x:v>
      </x:c>
      <x:c r="L44" s="88" t="str">
        <x:v>3 小时 50 分钟</x:v>
      </x:c>
      <x:c r="M44" s="89" t="n">
        <x:v>4844</x:v>
      </x:c>
      <x:c r="N44" s="89" t="n">
        <x:v>0</x:v>
      </x:c>
      <x:c r="O44" s="89" t="n">
        <x:f>M44+N44</x:f>
        <x:v>4844</x:v>
      </x:c>
      <x:c r="P44" s="88" t="str">
        <x:f>IF(O44&lt;5000,"是","否")</x:f>
        <x:v>是</x:v>
      </x:c>
      <x:c r="Q44" s="90" t="str">
        <x:v>国内经济舱通常含20kg；出票前须按实际票价等级复核</x:v>
      </x:c>
      <x:c r="R44" s="90" t="str">
        <x:v>该去程对应的最低可订返程组合；具体返程航班需打开来源链接确认</x:v>
      </x:c>
      <x:c r="S44" s="91" t="n">
        <x:v>46267.74779550926</x:v>
      </x:c>
      <x:c r="T44" s="92" t="str">
        <x:v>https://www.google.com/travel/flights?hl=zh-CN&amp;curr=CNY&amp;q=Flights%20from%20Shanghai%20to%20JHG%20from%202026-10-02%20to%202026-10-06</x:v>
      </x:c>
      <x:c r="U44" s="136" t="n">
        <x:v>46301</x:v>
      </x:c>
      <x:c r="V44" s="90" t="str">
        <x:v>20:15</x:v>
      </x:c>
      <x:c r="W44" s="90" t="str">
        <x:v>西双版纳嘎洒国际机场</x:v>
      </x:c>
      <x:c r="X44" s="137" t="n">
        <x:v>46302</x:v>
      </x:c>
      <x:c r="Y44" s="90" t="str">
        <x:v>00:05</x:v>
      </x:c>
      <x:c r="Z44" s="90" t="str">
        <x:v>上海浦东国际机场</x:v>
      </x:c>
      <x:c r="AA44" s="90" t="str">
        <x:v>吉祥航空</x:v>
      </x:c>
      <x:c r="AB44" s="90" t="n">
        <x:v>0</x:v>
      </x:c>
      <x:c r="AC44" s="90" t="str">
        <x:v>3 小时 50 分钟</x:v>
      </x:c>
      <x:c r="AD44" s="138"/>
      <x:c r="AE44" s="90" t="str">
        <x:v>当前返程列表无价格，采用排序第一条</x:v>
      </x:c>
      <x:c r="AF44" s="92" t="str">
        <x:v>https://www.google.com/travel/flights/search?tfs=CBwQAhpFEgoyMDI2LTEwLTAyIiAKA1BWRxIKMjAyNi0xMC0wMhoDSkhHKgJITzIEMjA4NWoMCAISCC9tLzA2d2pmcgcIARIDSkhHGiMSCjIwMjYtMTAtMDZqBwgBEgNKSEdyDAgCEggvbS8wNndqZkABSAFwAYIBCwj___________8BmAEB&amp;tfu=ClhDalJJVEVWeVNtOXViVTh0ZVZGQlJYUm1PR2RDUnkwdExTMHRMUzB0TFMxelpXTmpPVUZCUVVGQlIzRlpSRFJyU0haeFlWbEJFZ1pJVHpJd09EVTRIUT09EgIIACIA&amp;hl=zh-CN&amp;curr=CNY</x:v>
      </x:c>
    </x:row>
    <x:row r="45" ht="42" customHeight="1">
      <x:c r="A45" s="93" t="n">
        <x:f>ROW()-7</x:f>
        <x:v>38</x:v>
      </x:c>
      <x:c r="B45" s="94" t="n">
        <x:v>46296</x:v>
      </x:c>
      <x:c r="C45" s="94" t="n">
        <x:v>46302</x:v>
      </x:c>
      <x:c r="D45" s="95" t="n">
        <x:v>6</x:v>
      </x:c>
      <x:c r="E45" s="96" t="str">
        <x:v>春航</x:v>
      </x:c>
      <x:c r="F45" s="96" t="str">
        <x:v>06:00</x:v>
      </x:c>
      <x:c r="G45" s="96" t="str">
        <x:v>10:00</x:v>
      </x:c>
      <x:c r="H45" s="96" t="str">
        <x:v>上海浦东国际机场</x:v>
      </x:c>
      <x:c r="I45" s="96" t="str">
        <x:v>西双版纳嘎洒国际机场</x:v>
      </x:c>
      <x:c r="J45" s="96" t="n">
        <x:v>0</x:v>
      </x:c>
      <x:c r="K45" s="96" t="str">
        <x:v>—</x:v>
      </x:c>
      <x:c r="L45" s="96" t="str">
        <x:v>4 小时</x:v>
      </x:c>
      <x:c r="M45" s="97" t="n">
        <x:v>4540</x:v>
      </x:c>
      <x:c r="N45" s="97" t="n">
        <x:v>350</x:v>
      </x:c>
      <x:c r="O45" s="97" t="n">
        <x:f>M45+N45</x:f>
        <x:v>4890</x:v>
      </x:c>
      <x:c r="P45" s="96" t="str">
        <x:f>IF(O45&lt;5000,"是","否")</x:f>
        <x:v>是</x:v>
      </x:c>
      <x:c r="Q45" s="98" t="str">
        <x:v>春秋低价票可能不含托运；按国内往返20kg保守预留¥350</x:v>
      </x:c>
      <x:c r="R45" s="98" t="str">
        <x:v>该去程对应的最低可订返程组合；具体返程航班需打开来源链接确认</x:v>
      </x:c>
      <x:c r="S45" s="99" t="n">
        <x:v>46267.74779550926</x:v>
      </x:c>
      <x:c r="T45" s="100" t="str">
        <x:v>https://www.google.com/travel/flights?hl=zh-CN&amp;curr=CNY&amp;q=Flights%20from%20Shanghai%20to%20JHG%20from%202026-10-01%20to%202026-10-07</x:v>
      </x:c>
      <x:c r="U45" s="139" t="n">
        <x:v>46302</x:v>
      </x:c>
      <x:c r="V45" s="98" t="str">
        <x:v>08:00</x:v>
      </x:c>
      <x:c r="W45" s="98" t="str">
        <x:v>西双版纳嘎洒国际机场</x:v>
      </x:c>
      <x:c r="X45" s="140" t="n">
        <x:v>46302</x:v>
      </x:c>
      <x:c r="Y45" s="98" t="str">
        <x:v>11:40</x:v>
      </x:c>
      <x:c r="Z45" s="98" t="str">
        <x:v>上海浦东国际机场</x:v>
      </x:c>
      <x:c r="AA45" s="98" t="str">
        <x:v>春航</x:v>
      </x:c>
      <x:c r="AB45" s="98" t="n">
        <x:v>0</x:v>
      </x:c>
      <x:c r="AC45" s="98" t="str">
        <x:v>3 小时 40 分钟</x:v>
      </x:c>
      <x:c r="AD45" s="141" t="n">
        <x:v>4540</x:v>
      </x:c>
      <x:c r="AE45" s="98" t="str">
        <x:v>匹配原始往返起价</x:v>
      </x:c>
      <x:c r="AF45" s="100" t="str">
        <x:v>https://www.google.com/travel/flights/search?tfs=CBwQAhpFEgoyMDI2LTEwLTAxIiAKA1BWRxIKMjAyNi0xMC0wMRoDSkhHKgI5QzIENjQ0OWoMCAISCC9tLzA2d2pmcgcIARIDSkhHGiMSCjIwMjYtMTAtMDdqBwgBEgNKSEdyDAgCEggvbS8wNndqZkABSAFwAYIBCwj___________8BmAEB&amp;tfu=CmxDalJJU0dwUmRETldNWGhSUVd0QlJtTkZXRkZDUnkwdExTMHRMUzB0TFhOdFltUjFPVUZCUVVGQlIzRlpSRFE0UmtSNlkzbEJFZ1k1UXpZME5Ea2FDZ2k4SXhBQUdnTkRUbGs0SFhEZmp3UT0SAggAIgMKATA&amp;hl=zh-CN&amp;curr=CNY</x:v>
      </x:c>
    </x:row>
  </x:sheetData>
  <x:mergeCells>
    <x:mergeCell ref="A1:AF1"/>
    <x:mergeCell ref="A2:AF2"/>
    <x:mergeCell ref="A4:AF4"/>
    <x:mergeCell ref="A5:AF5"/>
  </x:mergeCells>
  <x:conditionalFormatting sqref="O8:O45">
    <x:cfRule type="cellIs" dxfId="0" priority="1" operator="lessThanOrEqual">
      <x:formula>3500</x:formula>
    </x:cfRule>
    <x:cfRule type="cellIs" dxfId="1" priority="2" operator="greaterThanOrEqual">
      <x:formula>4500</x:formula>
    </x:cfRule>
  </x:conditionalFormatting>
  <x:conditionalFormatting sqref="AE8:AE45">
    <x:cfRule type="containsText" dxfId="8" priority="3" operator="containsText" text="匹配原始"/>
    <x:cfRule type="containsText" dxfId="9" priority="4" operator="containsText" text="价格已变化"/>
    <x:cfRule type="containsText" dxfId="10" priority="5" operator="containsText" text="无价格"/>
    <x:cfRule type="containsText" dxfId="11" priority="6" operator="containsText" text="待核验"/>
    <x:cfRule type="containsText" dxfId="1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f8956d2708b84fee"/>
    <x:tablePart xmlns:r="http://schemas.openxmlformats.org/officeDocument/2006/relationships" r:id="R963d0235cd8a47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西双版纳（JHG）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MIN(O8:O17)</x:f>
        <x:v>1770</x:v>
      </x:c>
      <x:c r="I3" s="68"/>
      <x:c r="J3" s="68" t="str">
        <x:v>最高合格价</x:v>
      </x:c>
      <x:c r="K3" s="69" t="n">
        <x:f>MAX(O8:O17)</x:f>
        <x:v>2440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46300</x:v>
      </x:c>
      <x:c r="C8" s="78" t="n">
        <x:v>46304</x:v>
      </x:c>
      <x:c r="D8" s="79" t="n">
        <x:v>4</x:v>
      </x:c>
      <x:c r="E8" s="80" t="str">
        <x:v>春航</x:v>
      </x:c>
      <x:c r="F8" s="80" t="str">
        <x:v>19:10</x:v>
      </x:c>
      <x:c r="G8" s="80" t="str">
        <x:v>23:00</x:v>
      </x:c>
      <x:c r="H8" s="80" t="str">
        <x:v>上海浦东国际机场</x:v>
      </x:c>
      <x:c r="I8" s="80" t="str">
        <x:v>西双版纳嘎洒国际机场</x:v>
      </x:c>
      <x:c r="J8" s="80" t="n">
        <x:v>0</x:v>
      </x:c>
      <x:c r="K8" s="80" t="str">
        <x:v>—</x:v>
      </x:c>
      <x:c r="L8" s="80" t="str">
        <x:v>3 小时 50 分钟</x:v>
      </x:c>
      <x:c r="M8" s="81" t="n">
        <x:v>1420</x:v>
      </x:c>
      <x:c r="N8" s="81" t="n">
        <x:v>350</x:v>
      </x:c>
      <x:c r="O8" s="81" t="n">
        <x:f>M8+N8</x:f>
        <x:v>1770</x:v>
      </x:c>
      <x:c r="P8" s="80" t="str">
        <x:f>IF(O8&lt;5000,"是","否")</x:f>
        <x:v>是</x:v>
      </x:c>
      <x:c r="Q8" s="82" t="str">
        <x:v>春秋低价票可能不含托运；按国内往返20kg保守预留¥350</x:v>
      </x:c>
      <x:c r="R8" s="82" t="str">
        <x:v>该去程对应的最低可订返程组合；具体返程航班需打开来源链接确认</x:v>
      </x:c>
      <x:c r="S8" s="83" t="n">
        <x:v>46267.74779550926</x:v>
      </x:c>
      <x:c r="T8" s="84" t="str">
        <x:v>https://www.google.com/travel/flights?hl=zh-CN&amp;curr=CNY&amp;q=Flights%20from%20Shanghai%20to%20JHG%20from%202026-10-05%20to%202026-10-09</x:v>
      </x:c>
      <x:c r="U8" s="133" t="n">
        <x:v>46304</x:v>
      </x:c>
      <x:c r="V8" s="82" t="str">
        <x:v>08:00</x:v>
      </x:c>
      <x:c r="W8" s="82" t="str">
        <x:v>西双版纳嘎洒国际机场</x:v>
      </x:c>
      <x:c r="X8" s="134" t="n">
        <x:v>46304</x:v>
      </x:c>
      <x:c r="Y8" s="82" t="str">
        <x:v>11:40</x:v>
      </x:c>
      <x:c r="Z8" s="82" t="str">
        <x:v>上海浦东国际机场</x:v>
      </x:c>
      <x:c r="AA8" s="82" t="str">
        <x:v>春航</x:v>
      </x:c>
      <x:c r="AB8" s="82" t="n">
        <x:v>0</x:v>
      </x:c>
      <x:c r="AC8" s="82" t="str">
        <x:v>3 小时 40 分钟</x:v>
      </x:c>
      <x:c r="AD8" s="135" t="n">
        <x:v>1420</x:v>
      </x:c>
      <x:c r="AE8" s="82" t="str">
        <x:v>匹配原始往返起价</x:v>
      </x:c>
      <x:c r="AF8" s="84" t="str">
        <x:v>https://www.google.com/travel/flights/search?tfs=CBwQAhpFEgoyMDI2LTEwLTA1IiAKA1BWRxIKMjAyNi0xMC0wNRoDSkhHKgI5QzIENzYwN2oMCAISCC9tLzA2d2pmcgcIARIDSkhHGiMSCjIwMjYtMTAtMDlqBwgBEgNKSEdyDAgCEggvbS8wNndqZkABSAFwAYIBCwj___________8BmAEB&amp;tfu=CmxDalJJUjJOcVVEZzBWMGRIYlVWQlJYTnRUa0ZDUnkwdExTMHRMUzB0YzJWaVluVXpOVUZCUVVGQlIzRlpSREE0U2pOVVZXZEJFZ1k1UXpjMk1EY2FDZ2lNQ3hBQUdnTkRUbGs0SFhDSXBRRT0SAggAIgA&amp;hl=zh-CN&amp;curr=CNY</x:v>
      </x:c>
    </x:row>
    <x:row r="9" ht="42" customHeight="1">
      <x:c r="A9" s="85" t="n">
        <x:f>ROW()-7</x:f>
        <x:v>2</x:v>
      </x:c>
      <x:c r="B9" s="86" t="n">
        <x:v>46300</x:v>
      </x:c>
      <x:c r="C9" s="86" t="n">
        <x:v>46304</x:v>
      </x:c>
      <x:c r="D9" s="87" t="n">
        <x:v>4</x:v>
      </x:c>
      <x:c r="E9" s="88" t="str">
        <x:v>春航</x:v>
      </x:c>
      <x:c r="F9" s="88" t="str">
        <x:v>06:00</x:v>
      </x:c>
      <x:c r="G9" s="88" t="str">
        <x:v>10:00</x:v>
      </x:c>
      <x:c r="H9" s="88" t="str">
        <x:v>上海浦东国际机场</x:v>
      </x:c>
      <x:c r="I9" s="88" t="str">
        <x:v>西双版纳嘎洒国际机场</x:v>
      </x:c>
      <x:c r="J9" s="88" t="n">
        <x:v>0</x:v>
      </x:c>
      <x:c r="K9" s="88" t="str">
        <x:v>—</x:v>
      </x:c>
      <x:c r="L9" s="88" t="str">
        <x:v>4 小时</x:v>
      </x:c>
      <x:c r="M9" s="89" t="n">
        <x:v>1530</x:v>
      </x:c>
      <x:c r="N9" s="89" t="n">
        <x:v>350</x:v>
      </x:c>
      <x:c r="O9" s="89" t="n">
        <x:f>M9+N9</x:f>
        <x:v>1880</x:v>
      </x:c>
      <x:c r="P9" s="88" t="str">
        <x:f>IF(O9&lt;5000,"是","否")</x:f>
        <x:v>是</x:v>
      </x:c>
      <x:c r="Q9" s="90" t="str">
        <x:v>春秋低价票可能不含托运；按国内往返20kg保守预留¥350</x:v>
      </x:c>
      <x:c r="R9" s="90" t="str">
        <x:v>该去程对应的最低可订返程组合；具体返程航班需打开来源链接确认</x:v>
      </x:c>
      <x:c r="S9" s="91" t="n">
        <x:v>46267.74779550926</x:v>
      </x:c>
      <x:c r="T9" s="92" t="str">
        <x:v>https://www.google.com/travel/flights?hl=zh-CN&amp;curr=CNY&amp;q=Flights%20from%20Shanghai%20to%20JHG%20from%202026-10-05%20to%202026-10-09</x:v>
      </x:c>
      <x:c r="U9" s="136" t="n">
        <x:v>46304</x:v>
      </x:c>
      <x:c r="V9" s="90" t="str">
        <x:v>08:00</x:v>
      </x:c>
      <x:c r="W9" s="90" t="str">
        <x:v>西双版纳嘎洒国际机场</x:v>
      </x:c>
      <x:c r="X9" s="137" t="n">
        <x:v>46304</x:v>
      </x:c>
      <x:c r="Y9" s="90" t="str">
        <x:v>11:40</x:v>
      </x:c>
      <x:c r="Z9" s="90" t="str">
        <x:v>上海浦东国际机场</x:v>
      </x:c>
      <x:c r="AA9" s="90" t="str">
        <x:v>春航</x:v>
      </x:c>
      <x:c r="AB9" s="90" t="n">
        <x:v>0</x:v>
      </x:c>
      <x:c r="AC9" s="90" t="str">
        <x:v>3 小时 40 分钟</x:v>
      </x:c>
      <x:c r="AD9" s="138" t="n">
        <x:v>1530</x:v>
      </x:c>
      <x:c r="AE9" s="90" t="str">
        <x:v>匹配原始往返起价</x:v>
      </x:c>
      <x:c r="AF9" s="92" t="str">
        <x:v>https://www.google.com/travel/flights/search?tfs=CBwQAhpFEgoyMDI2LTEwLTA1IiAKA1BWRxIKMjAyNi0xMC0wNRoDSkhHKgI5QzIENjQ0OWoMCAISCC9tLzA2d2pmcgcIARIDSkhHGiMSCjIwMjYtMTAtMDlqBwgBEgNKSEdyDAgCEggvbS8wNndqZkABSAFwAYIBCwj___________8BmAEB&amp;tfu=CmxDalJJYjBKcmNXbDVMVVZwVWtGQlJIbG1OV2RDUnkwdExTMHRMUzB0TFhOdGNHUXlNVUZCUVVGQlIzRlpSREZCUW1SblFXdEJFZ1k1UXpZME5Ea2FDZ2o2Q3hBQUdnTkRUbGs0SFhEdHNRRT0SAggAIgA&amp;hl=zh-CN&amp;curr=CNY</x:v>
      </x:c>
    </x:row>
    <x:row r="10" ht="42" customHeight="1">
      <x:c r="A10" s="85" t="n">
        <x:f>ROW()-7</x:f>
        <x:v>3</x:v>
      </x:c>
      <x:c r="B10" s="86" t="n">
        <x:v>46299</x:v>
      </x:c>
      <x:c r="C10" s="86" t="n">
        <x:v>46304</x:v>
      </x:c>
      <x:c r="D10" s="87" t="n">
        <x:v>5</x:v>
      </x:c>
      <x:c r="E10" s="88" t="str">
        <x:v>春航</x:v>
      </x:c>
      <x:c r="F10" s="88" t="str">
        <x:v>19:10</x:v>
      </x:c>
      <x:c r="G10" s="88" t="str">
        <x:v>23:00</x:v>
      </x:c>
      <x:c r="H10" s="88" t="str">
        <x:v>上海浦东国际机场</x:v>
      </x:c>
      <x:c r="I10" s="88" t="str">
        <x:v>西双版纳嘎洒国际机场</x:v>
      </x:c>
      <x:c r="J10" s="88" t="n">
        <x:v>0</x:v>
      </x:c>
      <x:c r="K10" s="88" t="str">
        <x:v>—</x:v>
      </x:c>
      <x:c r="L10" s="88" t="str">
        <x:v>3 小时 50 分钟</x:v>
      </x:c>
      <x:c r="M10" s="89" t="n">
        <x:v>1610</x:v>
      </x:c>
      <x:c r="N10" s="89" t="n">
        <x:v>350</x:v>
      </x:c>
      <x:c r="O10" s="89" t="n">
        <x:f>M10+N10</x:f>
        <x:v>1960</x:v>
      </x:c>
      <x:c r="P10" s="88" t="str">
        <x:f>IF(O10&lt;5000,"是","否")</x:f>
        <x:v>是</x:v>
      </x:c>
      <x:c r="Q10" s="90" t="str">
        <x:v>春秋低价票可能不含托运；按国内往返20kg保守预留¥350</x:v>
      </x:c>
      <x:c r="R10" s="90" t="str">
        <x:v>该去程对应的最低可订返程组合；具体返程航班需打开来源链接确认</x:v>
      </x:c>
      <x:c r="S10" s="91" t="n">
        <x:v>46267.74779550926</x:v>
      </x:c>
      <x:c r="T10" s="92" t="str">
        <x:v>https://www.google.com/travel/flights?hl=zh-CN&amp;curr=CNY&amp;q=Flights%20from%20Shanghai%20to%20JHG%20from%202026-10-04%20to%202026-10-09</x:v>
      </x:c>
      <x:c r="U10" s="136" t="n">
        <x:v>46304</x:v>
      </x:c>
      <x:c r="V10" s="90" t="str">
        <x:v>08:00</x:v>
      </x:c>
      <x:c r="W10" s="90" t="str">
        <x:v>西双版纳嘎洒国际机场</x:v>
      </x:c>
      <x:c r="X10" s="137" t="n">
        <x:v>46304</x:v>
      </x:c>
      <x:c r="Y10" s="90" t="str">
        <x:v>11:40</x:v>
      </x:c>
      <x:c r="Z10" s="90" t="str">
        <x:v>上海浦东国际机场</x:v>
      </x:c>
      <x:c r="AA10" s="90" t="str">
        <x:v>春航</x:v>
      </x:c>
      <x:c r="AB10" s="90" t="n">
        <x:v>0</x:v>
      </x:c>
      <x:c r="AC10" s="90" t="str">
        <x:v>3 小时 40 分钟</x:v>
      </x:c>
      <x:c r="AD10" s="138" t="n">
        <x:v>1610</x:v>
      </x:c>
      <x:c r="AE10" s="90" t="str">
        <x:v>匹配原始往返起价</x:v>
      </x:c>
      <x:c r="AF10" s="92" t="str">
        <x:v>https://www.google.com/travel/flights/search?tfs=CBwQAhpFEgoyMDI2LTEwLTA0IiAKA1BWRxIKMjAyNi0xMC0wNBoDSkhHKgI5QzIENzYwN2oMCAISCC9tLzA2d2pmcgcIARIDSkhHGiMSCjIwMjYtMTAtMDlqBwgBEgNKSEdyDAgCEggvbS8wNndqZkABSAFwAYIBCwj___________8BmAEB&amp;tfu=CmxDalJJZEU5VWJEQndRbVpTWVhkQlIyZ3RWRkZDUnkwdExTMHRMUzB0YzJWaVozSXpNMEZCUVVGQlIzRlpSREE0VDNNMmQwRkJFZ1k1UXpjMk1EY2FDZ2pLREJBQUdnTkRUbGs0SFhDVHV3RT0SAggAIgMKATA&amp;hl=zh-CN&amp;curr=CNY</x:v>
      </x:c>
    </x:row>
    <x:row r="11" ht="42" customHeight="1">
      <x:c r="A11" s="85" t="n">
        <x:f>ROW()-7</x:f>
        <x:v>4</x:v>
      </x:c>
      <x:c r="B11" s="86" t="n">
        <x:v>46299</x:v>
      </x:c>
      <x:c r="C11" s="86" t="n">
        <x:v>46304</x:v>
      </x:c>
      <x:c r="D11" s="87" t="n">
        <x:v>5</x:v>
      </x:c>
      <x:c r="E11" s="88" t="str">
        <x:v>春航</x:v>
      </x:c>
      <x:c r="F11" s="88" t="str">
        <x:v>06:00</x:v>
      </x:c>
      <x:c r="G11" s="88" t="str">
        <x:v>10:00</x:v>
      </x:c>
      <x:c r="H11" s="88" t="str">
        <x:v>上海浦东国际机场</x:v>
      </x:c>
      <x:c r="I11" s="88" t="str">
        <x:v>西双版纳嘎洒国际机场</x:v>
      </x:c>
      <x:c r="J11" s="88" t="n">
        <x:v>0</x:v>
      </x:c>
      <x:c r="K11" s="88" t="str">
        <x:v>—</x:v>
      </x:c>
      <x:c r="L11" s="88" t="str">
        <x:v>4 小时</x:v>
      </x:c>
      <x:c r="M11" s="89" t="n">
        <x:v>1710</x:v>
      </x:c>
      <x:c r="N11" s="89" t="n">
        <x:v>350</x:v>
      </x:c>
      <x:c r="O11" s="89" t="n">
        <x:f>M11+N11</x:f>
        <x:v>2060</x:v>
      </x:c>
      <x:c r="P11" s="88" t="str">
        <x:f>IF(O11&lt;5000,"是","否")</x:f>
        <x:v>是</x:v>
      </x:c>
      <x:c r="Q11" s="90" t="str">
        <x:v>春秋低价票可能不含托运；按国内往返20kg保守预留¥350</x:v>
      </x:c>
      <x:c r="R11" s="90" t="str">
        <x:v>该去程对应的最低可订返程组合；具体返程航班需打开来源链接确认</x:v>
      </x:c>
      <x:c r="S11" s="91" t="n">
        <x:v>46267.74779550926</x:v>
      </x:c>
      <x:c r="T11" s="92" t="str">
        <x:v>https://www.google.com/travel/flights?hl=zh-CN&amp;curr=CNY&amp;q=Flights%20from%20Shanghai%20to%20JHG%20from%202026-10-04%20to%202026-10-09</x:v>
      </x:c>
      <x:c r="U11" s="136" t="n">
        <x:v>46304</x:v>
      </x:c>
      <x:c r="V11" s="90" t="str">
        <x:v>08:00</x:v>
      </x:c>
      <x:c r="W11" s="90" t="str">
        <x:v>西双版纳嘎洒国际机场</x:v>
      </x:c>
      <x:c r="X11" s="137" t="n">
        <x:v>46304</x:v>
      </x:c>
      <x:c r="Y11" s="90" t="str">
        <x:v>11:40</x:v>
      </x:c>
      <x:c r="Z11" s="90" t="str">
        <x:v>上海浦东国际机场</x:v>
      </x:c>
      <x:c r="AA11" s="90" t="str">
        <x:v>春航</x:v>
      </x:c>
      <x:c r="AB11" s="90" t="n">
        <x:v>0</x:v>
      </x:c>
      <x:c r="AC11" s="90" t="str">
        <x:v>3 小时 40 分钟</x:v>
      </x:c>
      <x:c r="AD11" s="138" t="n">
        <x:v>1710</x:v>
      </x:c>
      <x:c r="AE11" s="90" t="str">
        <x:v>匹配原始往返起价</x:v>
      </x:c>
      <x:c r="AF11" s="92" t="str">
        <x:v>https://www.google.com/travel/flights/search?tfs=CBwQAhpFEgoyMDI2LTEwLTA0IiAKA1BWRxIKMjAyNi0xMC0wNBoDSkhHKgI5QzIENjQ0OWoMCAISCC9tLzA2d2pmcgcIARIDSkhHGiMSCjIwMjYtMTAtMDlqBwgBEgNKSEdyDAgCEggvbS8wNndqZkABSAFwAYIBCwj___________8BmAEB&amp;tfu=CmxDalJJZEU5VWJEQndRbVpTWVhkQlIyZ3RTVkZDUnkwdExTMHRMUzB0YzJWaVozSXpNMEZCUVVGQlIzRlpSREE0U1cxM09XMUJFZ1k1UXpZME5Ea2FDZ2l1RFJBQUdnTkRUbGs0SFhEanhnRT0SAggAIgMKATA&amp;hl=zh-CN&amp;curr=CNY</x:v>
      </x:c>
    </x:row>
    <x:row r="12" ht="42" customHeight="1">
      <x:c r="A12" s="85" t="n">
        <x:f>ROW()-7</x:f>
        <x:v>5</x:v>
      </x:c>
      <x:c r="B12" s="86" t="n">
        <x:v>46298</x:v>
      </x:c>
      <x:c r="C12" s="86" t="n">
        <x:v>46304</x:v>
      </x:c>
      <x:c r="D12" s="87" t="n">
        <x:v>6</x:v>
      </x:c>
      <x:c r="E12" s="88" t="str">
        <x:v>春航</x:v>
      </x:c>
      <x:c r="F12" s="88" t="str">
        <x:v>19:10</x:v>
      </x:c>
      <x:c r="G12" s="88" t="str">
        <x:v>23:00</x:v>
      </x:c>
      <x:c r="H12" s="88" t="str">
        <x:v>上海浦东国际机场</x:v>
      </x:c>
      <x:c r="I12" s="88" t="str">
        <x:v>西双版纳嘎洒国际机场</x:v>
      </x:c>
      <x:c r="J12" s="88" t="n">
        <x:v>0</x:v>
      </x:c>
      <x:c r="K12" s="88" t="str">
        <x:v>—</x:v>
      </x:c>
      <x:c r="L12" s="88" t="str">
        <x:v>3 小时 50 分钟</x:v>
      </x:c>
      <x:c r="M12" s="89" t="n">
        <x:v>1790</x:v>
      </x:c>
      <x:c r="N12" s="89" t="n">
        <x:v>350</x:v>
      </x:c>
      <x:c r="O12" s="89" t="n">
        <x:f>M12+N12</x:f>
        <x:v>2140</x:v>
      </x:c>
      <x:c r="P12" s="88" t="str">
        <x:f>IF(O12&lt;5000,"是","否")</x:f>
        <x:v>是</x:v>
      </x:c>
      <x:c r="Q12" s="90" t="str">
        <x:v>春秋低价票可能不含托运；按国内往返20kg保守预留¥350</x:v>
      </x:c>
      <x:c r="R12" s="90" t="str">
        <x:v>该去程对应的最低可订返程组合；具体返程航班需打开来源链接确认</x:v>
      </x:c>
      <x:c r="S12" s="91" t="n">
        <x:v>46267.74779550926</x:v>
      </x:c>
      <x:c r="T12" s="92" t="str">
        <x:v>https://www.google.com/travel/flights?hl=zh-CN&amp;curr=CNY&amp;q=Flights%20from%20Shanghai%20to%20JHG%20from%202026-10-03%20to%202026-10-09</x:v>
      </x:c>
      <x:c r="U12" s="136" t="n">
        <x:v>46304</x:v>
      </x:c>
      <x:c r="V12" s="90" t="str">
        <x:v>08:00</x:v>
      </x:c>
      <x:c r="W12" s="90" t="str">
        <x:v>西双版纳嘎洒国际机场</x:v>
      </x:c>
      <x:c r="X12" s="137" t="n">
        <x:v>46304</x:v>
      </x:c>
      <x:c r="Y12" s="90" t="str">
        <x:v>11:40</x:v>
      </x:c>
      <x:c r="Z12" s="90" t="str">
        <x:v>上海浦东国际机场</x:v>
      </x:c>
      <x:c r="AA12" s="90" t="str">
        <x:v>春航</x:v>
      </x:c>
      <x:c r="AB12" s="90" t="n">
        <x:v>0</x:v>
      </x:c>
      <x:c r="AC12" s="90" t="str">
        <x:v>3 小时 40 分钟</x:v>
      </x:c>
      <x:c r="AD12" s="138" t="n">
        <x:v>1790</x:v>
      </x:c>
      <x:c r="AE12" s="90" t="str">
        <x:v>匹配原始往返起价</x:v>
      </x:c>
      <x:c r="AF12" s="92" t="str">
        <x:v>https://www.google.com/travel/flights/search?tfs=CBwQAhpFEgoyMDI2LTEwLTAzIiAKA1BWRxIKMjAyNi0xMC0wMxoDSkhHKgI5QzIENzYwN2oMCAISCC9tLzA2d2pmcgcIARIDSkhHGiMSCjIwMjYtMTAtMDlqBwgBEgNKSEdyDAgCEggvbS8wNndqZkABSAFwAYIBCwj___________8BmAEB&amp;tfu=CmxDalJJUjJOcVVEZzBWMGRIYlVWQlJYTnVVVkZDUnkwdExTMHRMUzB0YzJWaVluVXpOVUZCUVVGQlIzRlpSREZKU0Y4MlJtTkJFZ1k1UXpjMk1EY2FDZ2orRFJBQUdnTkRUbGs0SFhDSzBBRT0SAggAIg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46304</x:v>
      </x:c>
      <x:c r="D13" s="87" t="n">
        <x:v>6</x:v>
      </x:c>
      <x:c r="E13" s="88" t="str">
        <x:v>春航</x:v>
      </x:c>
      <x:c r="F13" s="88" t="str">
        <x:v>17:45</x:v>
      </x:c>
      <x:c r="G13" s="88" t="str">
        <x:v>21:30</x:v>
      </x:c>
      <x:c r="H13" s="88" t="str">
        <x:v>上海浦东国际机场</x:v>
      </x:c>
      <x:c r="I13" s="88" t="str">
        <x:v>西双版纳嘎洒国际机场</x:v>
      </x:c>
      <x:c r="J13" s="88" t="n">
        <x:v>0</x:v>
      </x:c>
      <x:c r="K13" s="88" t="str">
        <x:v>—</x:v>
      </x:c>
      <x:c r="L13" s="88" t="str">
        <x:v>3 小时 45 分钟</x:v>
      </x:c>
      <x:c r="M13" s="89" t="n">
        <x:v>1910</x:v>
      </x:c>
      <x:c r="N13" s="89" t="n">
        <x:v>350</x:v>
      </x:c>
      <x:c r="O13" s="89" t="n">
        <x:f>M13+N13</x:f>
        <x:v>2260</x:v>
      </x:c>
      <x:c r="P13" s="88" t="str">
        <x:f>IF(O13&lt;5000,"是","否")</x:f>
        <x:v>是</x:v>
      </x:c>
      <x:c r="Q13" s="90" t="str">
        <x:v>春秋低价票可能不含托运；按国内往返20kg保守预留¥350</x:v>
      </x:c>
      <x:c r="R13" s="90" t="str">
        <x:v>该去程对应的最低可订返程组合；具体返程航班需打开来源链接确认</x:v>
      </x:c>
      <x:c r="S13" s="91" t="n">
        <x:v>46267.74779550926</x:v>
      </x:c>
      <x:c r="T13" s="92" t="str">
        <x:v>https://www.google.com/travel/flights?hl=zh-CN&amp;curr=CNY&amp;q=Flights%20from%20Shanghai%20to%20JHG%20from%202026-10-03%20to%202026-10-09</x:v>
      </x:c>
      <x:c r="U13" s="136" t="n">
        <x:v>46304</x:v>
      </x:c>
      <x:c r="V13" s="90" t="str">
        <x:v>08:00</x:v>
      </x:c>
      <x:c r="W13" s="90" t="str">
        <x:v>西双版纳嘎洒国际机场</x:v>
      </x:c>
      <x:c r="X13" s="137" t="n">
        <x:v>46304</x:v>
      </x:c>
      <x:c r="Y13" s="90" t="str">
        <x:v>11:40</x:v>
      </x:c>
      <x:c r="Z13" s="90" t="str">
        <x:v>上海浦东国际机场</x:v>
      </x:c>
      <x:c r="AA13" s="90" t="str">
        <x:v>春航</x:v>
      </x:c>
      <x:c r="AB13" s="90" t="n">
        <x:v>0</x:v>
      </x:c>
      <x:c r="AC13" s="90" t="str">
        <x:v>3 小时 40 分钟</x:v>
      </x:c>
      <x:c r="AD13" s="138" t="n">
        <x:v>1910</x:v>
      </x:c>
      <x:c r="AE13" s="90" t="str">
        <x:v>匹配原始往返起价</x:v>
      </x:c>
      <x:c r="AF13" s="92" t="str">
        <x:v>https://www.google.com/travel/flights/search?tfs=CBwQAhpFEgoyMDI2LTEwLTAzIiAKA1BWRxIKMjAyNi0xMC0wMxoDSkhHKgI5QzIENzYwNWoMCAISCC9tLzA2d2pmcgcIARIDSkhHGiMSCjIwMjYtMTAtMDlqBwgBEgNKSEdyDAgCEggvbS8wNndqZkABSAFwAYIBCwj___________8BmAEB&amp;tfu=CmxDalJJTFhrM016ZFNRVGg0ZUZGQlJYUk1jbWRDUnkwdExTMHRMUzF6WldKdU15MXVNa0ZCUVVGQlIzRlpSREUwU2xBeldsRkJFZ1k1UXpjMk1EVWFDZ2oyRGhBQUdnTkRUbGs0SFhDRDNnRT0SAggAIgA&amp;hl=zh-CN&amp;curr=CNY</x:v>
      </x:c>
    </x:row>
    <x:row r="14" ht="42" customHeight="1">
      <x:c r="A14" s="85" t="n">
        <x:f>ROW()-7</x:f>
        <x:v>7</x:v>
      </x:c>
      <x:c r="B14" s="86" t="n">
        <x:v>46299</x:v>
      </x:c>
      <x:c r="C14" s="86" t="n">
        <x:v>46303</x:v>
      </x:c>
      <x:c r="D14" s="87" t="n">
        <x:v>4</x:v>
      </x:c>
      <x:c r="E14" s="88" t="str">
        <x:v>春航</x:v>
      </x:c>
      <x:c r="F14" s="88" t="str">
        <x:v>19:10</x:v>
      </x:c>
      <x:c r="G14" s="88" t="str">
        <x:v>23:00</x:v>
      </x:c>
      <x:c r="H14" s="88" t="str">
        <x:v>上海浦东国际机场</x:v>
      </x:c>
      <x:c r="I14" s="88" t="str">
        <x:v>西双版纳嘎洒国际机场</x:v>
      </x:c>
      <x:c r="J14" s="88" t="n">
        <x:v>0</x:v>
      </x:c>
      <x:c r="K14" s="88" t="str">
        <x:v>—</x:v>
      </x:c>
      <x:c r="L14" s="88" t="str">
        <x:v>3 小时 50 分钟</x:v>
      </x:c>
      <x:c r="M14" s="89" t="n">
        <x:v>1910</x:v>
      </x:c>
      <x:c r="N14" s="89" t="n">
        <x:v>350</x:v>
      </x:c>
      <x:c r="O14" s="89" t="n">
        <x:f>M14+N14</x:f>
        <x:v>2260</x:v>
      </x:c>
      <x:c r="P14" s="88" t="str">
        <x:f>IF(O14&lt;5000,"是","否")</x:f>
        <x:v>是</x:v>
      </x:c>
      <x:c r="Q14" s="90" t="str">
        <x:v>春秋低价票可能不含托运；按国内往返20kg保守预留¥350</x:v>
      </x:c>
      <x:c r="R14" s="90" t="str">
        <x:v>该去程对应的最低可订返程组合；具体返程航班需打开来源链接确认</x:v>
      </x:c>
      <x:c r="S14" s="91" t="n">
        <x:v>46267.74779550926</x:v>
      </x:c>
      <x:c r="T14" s="92" t="str">
        <x:v>https://www.google.com/travel/flights?hl=zh-CN&amp;curr=CNY&amp;q=Flights%20from%20Shanghai%20to%20JHG%20from%202026-10-04%20to%202026-10-08</x:v>
      </x:c>
      <x:c r="U14" s="136" t="n">
        <x:v>46303</x:v>
      </x:c>
      <x:c r="V14" s="90" t="str">
        <x:v>21:55</x:v>
      </x:c>
      <x:c r="W14" s="90" t="str">
        <x:v>西双版纳嘎洒国际机场</x:v>
      </x:c>
      <x:c r="X14" s="137" t="n">
        <x:v>46304</x:v>
      </x:c>
      <x:c r="Y14" s="90" t="str">
        <x:v>01:45</x:v>
      </x:c>
      <x:c r="Z14" s="90" t="str">
        <x:v>上海浦东国际机场</x:v>
      </x:c>
      <x:c r="AA14" s="90" t="str">
        <x:v>春航</x:v>
      </x:c>
      <x:c r="AB14" s="90" t="n">
        <x:v>0</x:v>
      </x:c>
      <x:c r="AC14" s="90" t="str">
        <x:v>3 小时 50 分钟</x:v>
      </x:c>
      <x:c r="AD14" s="138" t="n">
        <x:v>1910</x:v>
      </x:c>
      <x:c r="AE14" s="90" t="str">
        <x:v>匹配原始往返起价</x:v>
      </x:c>
      <x:c r="AF14" s="92" t="str">
        <x:v>https://www.google.com/travel/flights/search?tfs=CBwQAhpFEgoyMDI2LTEwLTA0IiAKA1BWRxIKMjAyNi0xMC0wNBoDSkhHKgI5QzIENzYwN2oMCAISCC9tLzA2d2pmcgcIARIDSkhHGiMSCjIwMjYtMTAtMDhqBwgBEgNKSEdyDAgCEggvbS8wNndqZkABSAFwAYIBCwj___________8BmAEB&amp;tfu=CmxDalJJVGxGb1IzSTNiM1ZaTUVsQlJXNVFTWGRDUnkwdExTMHRMUzB0TFhObGRYVXlNa0ZCUVVGQlIzRlpSREUwVFZkMmNXOUJFZ1k1UXpjMk1EY2FDZ2oyRGhBQUdnTkRUbGs0SFhDRDNnRT0SAggAIgMKAT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46303</x:v>
      </x:c>
      <x:c r="D15" s="87" t="n">
        <x:v>4</x:v>
      </x:c>
      <x:c r="E15" s="88" t="str">
        <x:v>春航</x:v>
      </x:c>
      <x:c r="F15" s="88" t="str">
        <x:v>06:00</x:v>
      </x:c>
      <x:c r="G15" s="88" t="str">
        <x:v>10:00</x:v>
      </x:c>
      <x:c r="H15" s="88" t="str">
        <x:v>上海浦东国际机场</x:v>
      </x:c>
      <x:c r="I15" s="88" t="str">
        <x:v>西双版纳嘎洒国际机场</x:v>
      </x:c>
      <x:c r="J15" s="88" t="n">
        <x:v>0</x:v>
      </x:c>
      <x:c r="K15" s="88" t="str">
        <x:v>—</x:v>
      </x:c>
      <x:c r="L15" s="88" t="str">
        <x:v>4 小时</x:v>
      </x:c>
      <x:c r="M15" s="89" t="n">
        <x:v>2010</x:v>
      </x:c>
      <x:c r="N15" s="89" t="n">
        <x:v>350</x:v>
      </x:c>
      <x:c r="O15" s="89" t="n">
        <x:f>M15+N15</x:f>
        <x:v>2360</x:v>
      </x:c>
      <x:c r="P15" s="88" t="str">
        <x:f>IF(O15&lt;5000,"是","否")</x:f>
        <x:v>是</x:v>
      </x:c>
      <x:c r="Q15" s="90" t="str">
        <x:v>春秋低价票可能不含托运；按国内往返20kg保守预留¥350</x:v>
      </x:c>
      <x:c r="R15" s="90" t="str">
        <x:v>该去程对应的最低可订返程组合；具体返程航班需打开来源链接确认</x:v>
      </x:c>
      <x:c r="S15" s="91" t="n">
        <x:v>46267.74779550926</x:v>
      </x:c>
      <x:c r="T15" s="92" t="str">
        <x:v>https://www.google.com/travel/flights?hl=zh-CN&amp;curr=CNY&amp;q=Flights%20from%20Shanghai%20to%20JHG%20from%202026-10-04%20to%202026-10-08</x:v>
      </x:c>
      <x:c r="U15" s="136" t="n">
        <x:v>46303</x:v>
      </x:c>
      <x:c r="V15" s="90" t="str">
        <x:v>21:55</x:v>
      </x:c>
      <x:c r="W15" s="90" t="str">
        <x:v>西双版纳嘎洒国际机场</x:v>
      </x:c>
      <x:c r="X15" s="137" t="n">
        <x:v>46304</x:v>
      </x:c>
      <x:c r="Y15" s="90" t="str">
        <x:v>01:45</x:v>
      </x:c>
      <x:c r="Z15" s="90" t="str">
        <x:v>上海浦东国际机场</x:v>
      </x:c>
      <x:c r="AA15" s="90" t="str">
        <x:v>春航</x:v>
      </x:c>
      <x:c r="AB15" s="90" t="n">
        <x:v>0</x:v>
      </x:c>
      <x:c r="AC15" s="90" t="str">
        <x:v>3 小时 50 分钟</x:v>
      </x:c>
      <x:c r="AD15" s="138" t="n">
        <x:v>2010</x:v>
      </x:c>
      <x:c r="AE15" s="90" t="str">
        <x:v>匹配原始往返起价</x:v>
      </x:c>
      <x:c r="AF15" s="92" t="str">
        <x:v>https://www.google.com/travel/flights/search?tfs=CBwQAhpFEgoyMDI2LTEwLTA0IiAKA1BWRxIKMjAyNi0xMC0wNBoDSkhHKgI5QzIENjQ0OWoMCAISCC9tLzA2d2pmcgcIARIDSkhHGiMSCjIwMjYtMTAtMDhqBwgBEgNKSEdyDAgCEggvbS8wNndqZkABSAFwAYIBCwj___________8BmAEB&amp;tfu=CmxDalJJVTFCd2FUaFNTbWhxVTBsQlJXRjFXbWRDUnkwdExTMHRMUzB0YzIxck1TMXVNVUZCUVVGQlIzRlpSREU0UkVWeFdGZEJFZ1k1UXpZME5Ea2FDZ2phRHhBQUdnTkRUbGs0SFhEVDZRRT0SAggAIgMKATA&amp;hl=zh-CN&amp;curr=CNY</x:v>
      </x:c>
    </x:row>
    <x:row r="16" ht="42" customHeight="1">
      <x:c r="A16" s="85" t="n">
        <x:f>ROW()-7</x:f>
        <x:v>9</x:v>
      </x:c>
      <x:c r="B16" s="86" t="n">
        <x:v>46298</x:v>
      </x:c>
      <x:c r="C16" s="86" t="n">
        <x:v>46304</x:v>
      </x:c>
      <x:c r="D16" s="87" t="n">
        <x:v>6</x:v>
      </x:c>
      <x:c r="E16" s="88" t="str">
        <x:v>春航</x:v>
      </x:c>
      <x:c r="F16" s="88" t="str">
        <x:v>06:00</x:v>
      </x:c>
      <x:c r="G16" s="88" t="str">
        <x:v>10:00</x:v>
      </x:c>
      <x:c r="H16" s="88" t="str">
        <x:v>上海浦东国际机场</x:v>
      </x:c>
      <x:c r="I16" s="88" t="str">
        <x:v>西双版纳嘎洒国际机场</x:v>
      </x:c>
      <x:c r="J16" s="88" t="n">
        <x:v>0</x:v>
      </x:c>
      <x:c r="K16" s="88" t="str">
        <x:v>—</x:v>
      </x:c>
      <x:c r="L16" s="88" t="str">
        <x:v>4 小时</x:v>
      </x:c>
      <x:c r="M16" s="89" t="n">
        <x:v>2040</x:v>
      </x:c>
      <x:c r="N16" s="89" t="n">
        <x:v>350</x:v>
      </x:c>
      <x:c r="O16" s="89" t="n">
        <x:f>M16+N16</x:f>
        <x:v>2390</x:v>
      </x:c>
      <x:c r="P16" s="88" t="str">
        <x:f>IF(O16&lt;5000,"是","否")</x:f>
        <x:v>是</x:v>
      </x:c>
      <x:c r="Q16" s="90" t="str">
        <x:v>春秋低价票可能不含托运；按国内往返20kg保守预留¥350</x:v>
      </x:c>
      <x:c r="R16" s="90" t="str">
        <x:v>该去程对应的最低可订返程组合；具体返程航班需打开来源链接确认</x:v>
      </x:c>
      <x:c r="S16" s="91" t="n">
        <x:v>46267.74779550926</x:v>
      </x:c>
      <x:c r="T16" s="92" t="str">
        <x:v>https://www.google.com/travel/flights?hl=zh-CN&amp;curr=CNY&amp;q=Flights%20from%20Shanghai%20to%20JHG%20from%202026-10-03%20to%202026-10-09</x:v>
      </x:c>
      <x:c r="U16" s="136" t="n">
        <x:v>46304</x:v>
      </x:c>
      <x:c r="V16" s="90" t="str">
        <x:v>08:00</x:v>
      </x:c>
      <x:c r="W16" s="90" t="str">
        <x:v>西双版纳嘎洒国际机场</x:v>
      </x:c>
      <x:c r="X16" s="137" t="n">
        <x:v>46304</x:v>
      </x:c>
      <x:c r="Y16" s="90" t="str">
        <x:v>11:40</x:v>
      </x:c>
      <x:c r="Z16" s="90" t="str">
        <x:v>上海浦东国际机场</x:v>
      </x:c>
      <x:c r="AA16" s="90" t="str">
        <x:v>春航</x:v>
      </x:c>
      <x:c r="AB16" s="90" t="n">
        <x:v>0</x:v>
      </x:c>
      <x:c r="AC16" s="90" t="str">
        <x:v>3 小时 40 分钟</x:v>
      </x:c>
      <x:c r="AD16" s="138" t="n">
        <x:v>2040</x:v>
      </x:c>
      <x:c r="AE16" s="90" t="str">
        <x:v>匹配原始往返起价</x:v>
      </x:c>
      <x:c r="AF16" s="92" t="str">
        <x:v>https://www.google.com/travel/flights/search?tfs=CBwQAhpFEgoyMDI2LTEwLTAzIiAKA1BWRxIKMjAyNi0xMC0wMxoDSkhHKgI5QzIENjQ0OWoMCAISCC9tLzA2d2pmcgcIARIDSkhHGiMSCjIwMjYtMTAtMDlqBwgBEgNKSEdyDAgCEggvbS8wNndqZkABSAFwAYIBCwj___________8BmAEB&amp;tfu=CmxDalJJYjBOd1MydElWbTlpTW1OQlJIb3lSVkZDUnkwdExTMHRMWE50WTNkck55MXVNa0ZCUVVGQlIzRlpSREpCU0dKb2JVRkJFZ1k1UXpZME5Ea2FDZ2o0RHhBQUdnTkRUbGs0SEhDUjdRRT0SAggAIgA&amp;hl=zh-CN&amp;curr=CNY</x:v>
      </x:c>
    </x:row>
    <x:row r="17" ht="42" customHeight="1">
      <x:c r="A17" s="93" t="n">
        <x:f>ROW()-7</x:f>
        <x:v>10</x:v>
      </x:c>
      <x:c r="B17" s="94" t="n">
        <x:v>46298</x:v>
      </x:c>
      <x:c r="C17" s="94" t="n">
        <x:v>46303</x:v>
      </x:c>
      <x:c r="D17" s="95" t="n">
        <x:v>5</x:v>
      </x:c>
      <x:c r="E17" s="96" t="str">
        <x:v>春航</x:v>
      </x:c>
      <x:c r="F17" s="96" t="str">
        <x:v>19:10</x:v>
      </x:c>
      <x:c r="G17" s="96" t="str">
        <x:v>23:00</x:v>
      </x:c>
      <x:c r="H17" s="96" t="str">
        <x:v>上海浦东国际机场</x:v>
      </x:c>
      <x:c r="I17" s="96" t="str">
        <x:v>西双版纳嘎洒国际机场</x:v>
      </x:c>
      <x:c r="J17" s="96" t="n">
        <x:v>0</x:v>
      </x:c>
      <x:c r="K17" s="96" t="str">
        <x:v>—</x:v>
      </x:c>
      <x:c r="L17" s="96" t="str">
        <x:v>3 小时 50 分钟</x:v>
      </x:c>
      <x:c r="M17" s="97" t="n">
        <x:v>2090</x:v>
      </x:c>
      <x:c r="N17" s="97" t="n">
        <x:v>350</x:v>
      </x:c>
      <x:c r="O17" s="97" t="n">
        <x:f>M17+N17</x:f>
        <x:v>2440</x:v>
      </x:c>
      <x:c r="P17" s="96" t="str">
        <x:f>IF(O17&lt;5000,"是","否")</x:f>
        <x:v>是</x:v>
      </x:c>
      <x:c r="Q17" s="98" t="str">
        <x:v>春秋低价票可能不含托运；按国内往返20kg保守预留¥350</x:v>
      </x:c>
      <x:c r="R17" s="98" t="str">
        <x:v>该去程对应的最低可订返程组合；具体返程航班需打开来源链接确认</x:v>
      </x:c>
      <x:c r="S17" s="99" t="n">
        <x:v>46267.74779550926</x:v>
      </x:c>
      <x:c r="T17" s="100" t="str">
        <x:v>https://www.google.com/travel/flights?hl=zh-CN&amp;curr=CNY&amp;q=Flights%20from%20Shanghai%20to%20JHG%20from%202026-10-03%20to%202026-10-08</x:v>
      </x:c>
      <x:c r="U17" s="139" t="n">
        <x:v>46303</x:v>
      </x:c>
      <x:c r="V17" s="98" t="str">
        <x:v>21:55</x:v>
      </x:c>
      <x:c r="W17" s="98" t="str">
        <x:v>西双版纳嘎洒国际机场</x:v>
      </x:c>
      <x:c r="X17" s="140" t="n">
        <x:v>46304</x:v>
      </x:c>
      <x:c r="Y17" s="98" t="str">
        <x:v>01:45</x:v>
      </x:c>
      <x:c r="Z17" s="98" t="str">
        <x:v>上海浦东国际机场</x:v>
      </x:c>
      <x:c r="AA17" s="98" t="str">
        <x:v>春航</x:v>
      </x:c>
      <x:c r="AB17" s="98" t="n">
        <x:v>0</x:v>
      </x:c>
      <x:c r="AC17" s="98" t="str">
        <x:v>3 小时 50 分钟</x:v>
      </x:c>
      <x:c r="AD17" s="141" t="n">
        <x:v>2090</x:v>
      </x:c>
      <x:c r="AE17" s="98" t="str">
        <x:v>匹配原始往返起价</x:v>
      </x:c>
      <x:c r="AF17" s="100" t="str">
        <x:v>https://www.google.com/travel/flights/search?tfs=CBwQAhpFEgoyMDI2LTEwLTAzIiAKA1BWRxIKMjAyNi0xMC0wMxoDSkhHKgI5QzIENzYwN2oMCAISCC9tLzA2d2pmcgcIARIDSkhHGiMSCjIwMjYtMTAtMDhqBwgBEgNKSEdyDAgCEggvbS8wNndqZkABSAFwAYIBCwj___________8BmAEB&amp;tfu=CmxDalJJV25VMlpHdHJNMVpPY1ZsQlJVTm5NbEZDUnkwdExTMHRMUzF6YlhWa015MXVNa0ZCUVVGQlIzRlpSREpWUjA1dWQxRkJFZ1k1UXpjMk1EY2FDZ2lxRUJBQUdnTkRUbGs0SFhENThnRT0SAggAIgA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2" priority="1" operator="lessThanOrEqual">
      <x:formula>3500</x:formula>
    </x:cfRule>
    <x:cfRule type="cellIs" dxfId="3" priority="2" operator="greaterThanOrEqual">
      <x:formula>4500</x:formula>
    </x:cfRule>
  </x:conditionalFormatting>
  <x:conditionalFormatting sqref="AE8:AE17">
    <x:cfRule type="containsText" dxfId="13" priority="3" operator="containsText" text="匹配原始"/>
    <x:cfRule type="containsText" dxfId="14" priority="4" operator="containsText" text="价格已变化"/>
    <x:cfRule type="containsText" dxfId="15" priority="5" operator="containsText" text="无价格"/>
    <x:cfRule type="containsText" dxfId="16" priority="6" operator="containsText" text="待核验"/>
    <x:cfRule type="containsText" dxfId="1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12b07ad849a74920"/>
    <x:tablePart xmlns:r="http://schemas.openxmlformats.org/officeDocument/2006/relationships" r:id="R830b076c50b94b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西双版纳（JHG）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COUNTA(A8:A35)</x:f>
        <x:v>28</x:v>
      </x:c>
      <x:c r="C3" s="68"/>
      <x:c r="D3" s="68" t="str">
        <x:v>覆盖日期组合</x:v>
      </x:c>
      <x:c r="E3" s="68" t="str">
        <x:v>13/14</x:v>
      </x:c>
      <x:c r="F3" s="68"/>
      <x:c r="G3" s="68" t="str">
        <x:v>最低含行李价</x:v>
      </x:c>
      <x:c r="H3" s="69" t="n">
        <x:f>MIN(O8:O35)</x:f>
        <x:v>1401</x:v>
      </x:c>
      <x:c r="I3" s="68"/>
      <x:c r="J3" s="68" t="str">
        <x:v>最高合格价</x:v>
      </x:c>
      <x:c r="K3" s="69" t="n">
        <x:f>MAX(O8:O35)</x:f>
        <x:v>3347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46298</x:v>
      </x:c>
      <x:c r="C8" s="78" t="n">
        <x:v>46303</x:v>
      </x:c>
      <x:c r="D8" s="79" t="n">
        <x:v>5</x:v>
      </x:c>
      <x:c r="E8" s="80" t="str">
        <x:v>华夏航空</x:v>
      </x:c>
      <x:c r="F8" s="80" t="str">
        <x:v>06:40</x:v>
      </x:c>
      <x:c r="G8" s="80" t="str">
        <x:v>09:00</x:v>
      </x:c>
      <x:c r="H8" s="80" t="str">
        <x:v>重庆江北国际机场</x:v>
      </x:c>
      <x:c r="I8" s="80" t="str">
        <x:v>西双版纳嘎洒国际机场</x:v>
      </x:c>
      <x:c r="J8" s="80" t="n">
        <x:v>0</x:v>
      </x:c>
      <x:c r="K8" s="80" t="str">
        <x:v>—</x:v>
      </x:c>
      <x:c r="L8" s="80" t="str">
        <x:v>2 小时 20 分钟</x:v>
      </x:c>
      <x:c r="M8" s="81" t="n">
        <x:v>1401</x:v>
      </x:c>
      <x:c r="N8" s="81" t="n">
        <x:v>0</x:v>
      </x:c>
      <x:c r="O8" s="81" t="n">
        <x:f>M8+N8</x:f>
        <x:v>1401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46267.748189398146</x:v>
      </x:c>
      <x:c r="T8" s="84" t="str">
        <x:v>https://www.google.com/travel/flights?hl=zh-CN&amp;curr=CNY&amp;q=Flights%20from%20Chongqing%20to%20JHG%20from%202026-10-03%20to%202026-10-08</x:v>
      </x:c>
      <x:c r="U8" s="133" t="n">
        <x:v>46303</x:v>
      </x:c>
      <x:c r="V8" s="82" t="str">
        <x:v>10:25</x:v>
      </x:c>
      <x:c r="W8" s="82" t="str">
        <x:v>西双版纳嘎洒国际机场</x:v>
      </x:c>
      <x:c r="X8" s="134" t="n">
        <x:v>46303</x:v>
      </x:c>
      <x:c r="Y8" s="82" t="str">
        <x:v>12:35</x:v>
      </x:c>
      <x:c r="Z8" s="82" t="str">
        <x:v>重庆江北国际机场</x:v>
      </x:c>
      <x:c r="AA8" s="82" t="str">
        <x:v>华夏航空</x:v>
      </x:c>
      <x:c r="AB8" s="82" t="n">
        <x:v>0</x:v>
      </x:c>
      <x:c r="AC8" s="82" t="str">
        <x:v>2 小时 10 分钟</x:v>
      </x:c>
      <x:c r="AD8" s="135"/>
      <x:c r="AE8" s="82" t="str">
        <x:v>当前返程列表无价格，采用排序第一条</x:v>
      </x:c>
      <x:c r="AF8" s="84" t="str">
        <x:v>https://www.google.com/travel/flights/search?tfs=CBwQAhpGEgoyMDI2LTEwLTAzIiAKA0NLRxIKMjAyNi0xMC0wMxoDSkhHKgJHNTIEMjY4OWoNCAISCS9tLzAxNzIzNnIHCAESA0pIRxokEgoyMDI2LTEwLTA4agcIARIDSkhHcg0IAhIJL20vMDE3MjM2QAFIAXABggELCP___________wGYAQE&amp;tfu=ClhDalJJV25VMlpHdHJNMVpPY1ZsQlJVSXRlWGRDUnkwdExTMHRMUzF6YlhWa015MXVNa0ZCUVVGQlIzRlpSSGR6UzBod2JHTkJFZ1pITlRJMk9EazRIUT09EgIIACIDCgEw&amp;hl=zh-CN&amp;curr=CNY</x:v>
      </x:c>
    </x:row>
    <x:row r="9" ht="42" customHeight="1">
      <x:c r="A9" s="85" t="n">
        <x:f>ROW()-7</x:f>
        <x:v>2</x:v>
      </x:c>
      <x:c r="B9" s="86" t="n">
        <x:v>46298</x:v>
      </x:c>
      <x:c r="C9" s="86" t="n">
        <x:v>46303</x:v>
      </x:c>
      <x:c r="D9" s="87" t="n">
        <x:v>5</x:v>
      </x:c>
      <x:c r="E9" s="88" t="str">
        <x:v>华夏航空</x:v>
      </x:c>
      <x:c r="F9" s="88" t="str">
        <x:v>06:45</x:v>
      </x:c>
      <x:c r="G9" s="88" t="str">
        <x:v>09:55</x:v>
      </x:c>
      <x:c r="H9" s="88" t="str">
        <x:v>重庆江北国际机场</x:v>
      </x:c>
      <x:c r="I9" s="88" t="str">
        <x:v>西双版纳嘎洒国际机场</x:v>
      </x:c>
      <x:c r="J9" s="88" t="n">
        <x:v>1</x:v>
      </x:c>
      <x:c r="K9" s="88" t="str">
        <x:v>昭通市的昭通机场 / 40 分钟</x:v>
      </x:c>
      <x:c r="L9" s="88" t="str">
        <x:v>3 小时 10 分钟</x:v>
      </x:c>
      <x:c r="M9" s="89" t="n">
        <x:v>1431</x:v>
      </x:c>
      <x:c r="N9" s="89" t="n">
        <x:v>0</x:v>
      </x:c>
      <x:c r="O9" s="89" t="n">
        <x:f>M9+N9</x:f>
        <x:v>1431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46267.748189398146</x:v>
      </x:c>
      <x:c r="T9" s="92" t="str">
        <x:v>https://www.google.com/travel/flights?hl=zh-CN&amp;curr=CNY&amp;q=Flights%20from%20Chongqing%20to%20JHG%20from%202026-10-03%20to%202026-10-08</x:v>
      </x:c>
      <x:c r="U9" s="136"/>
      <x:c r="V9" s="90"/>
      <x:c r="W9" s="90"/>
      <x:c r="X9" s="137"/>
      <x:c r="Y9" s="90"/>
      <x:c r="Z9" s="90"/>
      <x:c r="AA9" s="90"/>
      <x:c r="AB9" s="90"/>
      <x:c r="AC9" s="90"/>
      <x:c r="AD9" s="138"/>
      <x:c r="AE9" s="90" t="str">
        <x:v>去程当前未找到，返程待核验</x:v>
      </x:c>
      <x:c r="AF9" s="92" t="str">
        <x:v>https://www.google.com/travel/flights?hl=zh-CN&amp;curr=CNY&amp;q=Flights%20from%20Chongqing%20to%20JHG%20from%202026-10-03%20to%202026-10-08</x:v>
      </x:c>
    </x:row>
    <x:row r="10" ht="42" customHeight="1">
      <x:c r="A10" s="85" t="n">
        <x:f>ROW()-7</x:f>
        <x:v>3</x:v>
      </x:c>
      <x:c r="B10" s="86" t="n">
        <x:v>46300</x:v>
      </x:c>
      <x:c r="C10" s="86" t="n">
        <x:v>46304</x:v>
      </x:c>
      <x:c r="D10" s="87" t="n">
        <x:v>4</x:v>
      </x:c>
      <x:c r="E10" s="88" t="str">
        <x:v>川航</x:v>
      </x:c>
      <x:c r="F10" s="88" t="str">
        <x:v>11:45</x:v>
      </x:c>
      <x:c r="G10" s="88" t="str">
        <x:v>13:35</x:v>
      </x:c>
      <x:c r="H10" s="88" t="str">
        <x:v>重庆江北国际机场</x:v>
      </x:c>
      <x:c r="I10" s="88" t="str">
        <x:v>西双版纳嘎洒国际机场</x:v>
      </x:c>
      <x:c r="J10" s="88" t="n">
        <x:v>0</x:v>
      </x:c>
      <x:c r="K10" s="88" t="str">
        <x:v>—</x:v>
      </x:c>
      <x:c r="L10" s="88" t="str">
        <x:v>1 小时 50 分钟</x:v>
      </x:c>
      <x:c r="M10" s="89" t="n">
        <x:v>1604</x:v>
      </x:c>
      <x:c r="N10" s="89" t="n">
        <x:v>0</x:v>
      </x:c>
      <x:c r="O10" s="89" t="n">
        <x:f>M10+N10</x:f>
        <x:v>1604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46267.748189398146</x:v>
      </x:c>
      <x:c r="T10" s="92" t="str">
        <x:v>https://www.google.com/travel/flights?hl=zh-CN&amp;curr=CNY&amp;q=Flights%20from%20Chongqing%20to%20JHG%20from%202026-10-05%20to%202026-10-09</x:v>
      </x:c>
      <x:c r="U10" s="136" t="n">
        <x:v>46304</x:v>
      </x:c>
      <x:c r="V10" s="90" t="str">
        <x:v>10:55</x:v>
      </x:c>
      <x:c r="W10" s="90" t="str">
        <x:v>西双版纳嘎洒国际机场</x:v>
      </x:c>
      <x:c r="X10" s="137" t="n">
        <x:v>46304</x:v>
      </x:c>
      <x:c r="Y10" s="90" t="str">
        <x:v>14:15</x:v>
      </x:c>
      <x:c r="Z10" s="90" t="str">
        <x:v>重庆江北国际机场</x:v>
      </x:c>
      <x:c r="AA10" s="90" t="str">
        <x:v>华夏航空</x:v>
      </x:c>
      <x:c r="AB10" s="90" t="n">
        <x:v>1</x:v>
      </x:c>
      <x:c r="AC10" s="90" t="str">
        <x:v>3 小时 20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GEgoyMDI2LTEwLTA1IiAKA0NLRxIKMjAyNi0xMC0wNRoDSkhHKgIzVTIEMzU1MWoNCAISCS9tLzAxNzIzNnIHCAESA0pIRxokEgoyMDI2LTEwLTA5agcIARIDSkhHcg0IAhIJL20vMDE3MjM2QAFIAXABggELCP___________wGYAQE&amp;tfu=ClhDalJJV0Raek9XaExUWEpYVGtsQlJYRkdhV2RDUnkwdExTMHRMUzF6WlhSdE9DMXVNVUZCUVVGQlIzRlpSSGQzU0ZKRFRsRkJFZ1l6VlRNMU5URTRIQT09EgYIACACKAEiAA&amp;hl=zh-CN&amp;curr=CNY</x:v>
      </x:c>
    </x:row>
    <x:row r="11" ht="42" customHeight="1">
      <x:c r="A11" s="85" t="n">
        <x:f>ROW()-7</x:f>
        <x:v>4</x:v>
      </x:c>
      <x:c r="B11" s="86" t="n">
        <x:v>46299</x:v>
      </x:c>
      <x:c r="C11" s="86" t="n">
        <x:v>46303</x:v>
      </x:c>
      <x:c r="D11" s="87" t="n">
        <x:v>4</x:v>
      </x:c>
      <x:c r="E11" s="88" t="str">
        <x:v>川航</x:v>
      </x:c>
      <x:c r="F11" s="88" t="str">
        <x:v>11:45</x:v>
      </x:c>
      <x:c r="G11" s="88" t="str">
        <x:v>13:35</x:v>
      </x:c>
      <x:c r="H11" s="88" t="str">
        <x:v>重庆江北国际机场</x:v>
      </x:c>
      <x:c r="I11" s="88" t="str">
        <x:v>西双版纳嘎洒国际机场</x:v>
      </x:c>
      <x:c r="J11" s="88" t="n">
        <x:v>0</x:v>
      </x:c>
      <x:c r="K11" s="88" t="str">
        <x:v>—</x:v>
      </x:c>
      <x:c r="L11" s="88" t="str">
        <x:v>1 小时 50 分钟</x:v>
      </x:c>
      <x:c r="M11" s="89" t="n">
        <x:v>1636</x:v>
      </x:c>
      <x:c r="N11" s="89" t="n">
        <x:v>0</x:v>
      </x:c>
      <x:c r="O11" s="89" t="n">
        <x:f>M11+N11</x:f>
        <x:v>1636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46267.748189398146</x:v>
      </x:c>
      <x:c r="T11" s="92" t="str">
        <x:v>https://www.google.com/travel/flights?hl=zh-CN&amp;curr=CNY&amp;q=Flights%20from%20Chongqing%20to%20JHG%20from%202026-10-04%20to%202026-10-08</x:v>
      </x:c>
      <x:c r="U11" s="136" t="n">
        <x:v>46303</x:v>
      </x:c>
      <x:c r="V11" s="90" t="str">
        <x:v>10:45</x:v>
      </x:c>
      <x:c r="W11" s="90" t="str">
        <x:v>西双版纳嘎洒国际机场</x:v>
      </x:c>
      <x:c r="X11" s="137" t="n">
        <x:v>46303</x:v>
      </x:c>
      <x:c r="Y11" s="90" t="str">
        <x:v>13:50</x:v>
      </x:c>
      <x:c r="Z11" s="90" t="str">
        <x:v>重庆江北国际机场</x:v>
      </x:c>
      <x:c r="AA11" s="90" t="str">
        <x:v>华夏航空</x:v>
      </x:c>
      <x:c r="AB11" s="90" t="n">
        <x:v>1</x:v>
      </x:c>
      <x:c r="AC11" s="90" t="str">
        <x:v>3 小时 5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GEgoyMDI2LTEwLTA0IiAKA0NLRxIKMjAyNi0xMC0wNBoDSkhHKgIzVTIEMzU1MWoNCAISCS9tLzAxNzIzNnIHCAESA0pIRxokEgoyMDI2LTEwLTA4agcIARIDSkhHcg0IAhIJL20vMDE3MjM2QAFIAXABggELCP___________wGYAQE&amp;tfu=ClhDalJJV25VMlpHdHJNMVpPY1ZsQlJVUXhXbmRDUnkwdExTMHRMUzF6YlhWa015MXVNa0ZCUVVGQlIzRlpSVVpuU2toRGQybEJFZ1l6VlRNMU5URTRIQT09EgYIACACKAEiAA&amp;hl=zh-CN&amp;curr=CNY</x:v>
      </x:c>
    </x:row>
    <x:row r="12" ht="42" customHeight="1">
      <x:c r="A12" s="85" t="n">
        <x:f>ROW()-7</x:f>
        <x:v>5</x:v>
      </x:c>
      <x:c r="B12" s="86" t="n">
        <x:v>46298</x:v>
      </x:c>
      <x:c r="C12" s="86" t="n">
        <x:v>46304</x:v>
      </x:c>
      <x:c r="D12" s="87" t="n">
        <x:v>6</x:v>
      </x:c>
      <x:c r="E12" s="88" t="str">
        <x:v>川航</x:v>
      </x:c>
      <x:c r="F12" s="88" t="str">
        <x:v>11:45</x:v>
      </x:c>
      <x:c r="G12" s="88" t="str">
        <x:v>13:35</x:v>
      </x:c>
      <x:c r="H12" s="88" t="str">
        <x:v>重庆江北国际机场</x:v>
      </x:c>
      <x:c r="I12" s="88" t="str">
        <x:v>西双版纳嘎洒国际机场</x:v>
      </x:c>
      <x:c r="J12" s="88" t="n">
        <x:v>0</x:v>
      </x:c>
      <x:c r="K12" s="88" t="str">
        <x:v>—</x:v>
      </x:c>
      <x:c r="L12" s="88" t="str">
        <x:v>1 小时 50 分钟</x:v>
      </x:c>
      <x:c r="M12" s="89" t="n">
        <x:v>1773</x:v>
      </x:c>
      <x:c r="N12" s="89" t="n">
        <x:v>0</x:v>
      </x:c>
      <x:c r="O12" s="89" t="n">
        <x:f>M12+N12</x:f>
        <x:v>1773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46267.748189398146</x:v>
      </x:c>
      <x:c r="T12" s="92" t="str">
        <x:v>https://www.google.com/travel/flights?hl=zh-CN&amp;curr=CNY&amp;q=Flights%20from%20Chongqing%20to%20JHG%20from%202026-10-03%20to%202026-10-09</x:v>
      </x:c>
      <x:c r="U12" s="136" t="n">
        <x:v>46304</x:v>
      </x:c>
      <x:c r="V12" s="90" t="str">
        <x:v>10:55</x:v>
      </x:c>
      <x:c r="W12" s="90" t="str">
        <x:v>西双版纳嘎洒国际机场</x:v>
      </x:c>
      <x:c r="X12" s="137" t="n">
        <x:v>46304</x:v>
      </x:c>
      <x:c r="Y12" s="90" t="str">
        <x:v>14:15</x:v>
      </x:c>
      <x:c r="Z12" s="90" t="str">
        <x:v>重庆江北国际机场</x:v>
      </x:c>
      <x:c r="AA12" s="90" t="str">
        <x:v>华夏航空</x:v>
      </x:c>
      <x:c r="AB12" s="90" t="n">
        <x:v>1</x:v>
      </x:c>
      <x:c r="AC12" s="90" t="str">
        <x:v>3 小时 20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GEgoyMDI2LTEwLTAzIiAKA0NLRxIKMjAyNi0xMC0wMxoDSkhHKgIzVTIEMzU1MWoNCAISCS9tLzAxNzIzNnIHCAESA0pIRxokEgoyMDI2LTEwLTA5agcIARIDSkhHcg0IAhIJL20vMDE3MjM2QAFIAXABggELCP___________wGYAQE&amp;tfu=ClhDalJJVTFCd2FUaFNTbWhxVTBsQlJXTlFhMmRDUnkwdExTMHRMUzB0YzIxck1TMXVNVUZCUVVGQlIzRlpSVVpqUzJaYU5rOUJFZ1l6VlRNMU5URTRIQT09EgIIACI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46303</x:v>
      </x:c>
      <x:c r="D13" s="87" t="n">
        <x:v>5</x:v>
      </x:c>
      <x:c r="E13" s="88" t="str">
        <x:v>深航</x:v>
      </x:c>
      <x:c r="F13" s="88" t="str">
        <x:v>06:45</x:v>
      </x:c>
      <x:c r="G13" s="88" t="str">
        <x:v>09:55</x:v>
      </x:c>
      <x:c r="H13" s="88" t="str">
        <x:v>重庆江北国际机场</x:v>
      </x:c>
      <x:c r="I13" s="88" t="str">
        <x:v>西双版纳嘎洒国际机场</x:v>
      </x:c>
      <x:c r="J13" s="88" t="n">
        <x:v>0</x:v>
      </x:c>
      <x:c r="K13" s="88" t="str">
        <x:v>—</x:v>
      </x:c>
      <x:c r="L13" s="88" t="str">
        <x:v>3 小时 10 分钟</x:v>
      </x:c>
      <x:c r="M13" s="89" t="n">
        <x:v>1857</x:v>
      </x:c>
      <x:c r="N13" s="89" t="n">
        <x:v>0</x:v>
      </x:c>
      <x:c r="O13" s="89" t="n">
        <x:f>M13+N13</x:f>
        <x:v>1857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46267.748189398146</x:v>
      </x:c>
      <x:c r="T13" s="92" t="str">
        <x:v>https://www.google.com/travel/flights?hl=zh-CN&amp;curr=CNY&amp;q=Flights%20from%20Chongqing%20to%20JHG%20from%202026-10-03%20to%202026-10-08</x:v>
      </x:c>
      <x:c r="U13" s="136"/>
      <x:c r="V13" s="90"/>
      <x:c r="W13" s="90"/>
      <x:c r="X13" s="137"/>
      <x:c r="Y13" s="90"/>
      <x:c r="Z13" s="90"/>
      <x:c r="AA13" s="90"/>
      <x:c r="AB13" s="90"/>
      <x:c r="AC13" s="90"/>
      <x:c r="AD13" s="138"/>
      <x:c r="AE13" s="90" t="str">
        <x:v>去程当前未找到，返程待核验</x:v>
      </x:c>
      <x:c r="AF13" s="92" t="str">
        <x:v>https://www.google.com/travel/flights?hl=zh-CN&amp;curr=CNY&amp;q=Flights%20from%20Chongqing%20to%20JHG%20from%202026-10-03%20to%202026-10-08</x:v>
      </x:c>
    </x:row>
    <x:row r="14" ht="42" customHeight="1">
      <x:c r="A14" s="85" t="n">
        <x:f>ROW()-7</x:f>
        <x:v>7</x:v>
      </x:c>
      <x:c r="B14" s="86" t="n">
        <x:v>46297</x:v>
      </x:c>
      <x:c r="C14" s="86" t="n">
        <x:v>46304</x:v>
      </x:c>
      <x:c r="D14" s="87" t="n">
        <x:v>7</x:v>
      </x:c>
      <x:c r="E14" s="88" t="str">
        <x:v>华夏航空</x:v>
      </x:c>
      <x:c r="F14" s="88" t="str">
        <x:v>07:00</x:v>
      </x:c>
      <x:c r="G14" s="88" t="str">
        <x:v>10:10</x:v>
      </x:c>
      <x:c r="H14" s="88" t="str">
        <x:v>重庆江北国际机场</x:v>
      </x:c>
      <x:c r="I14" s="88" t="str">
        <x:v>西双版纳嘎洒国际机场</x:v>
      </x:c>
      <x:c r="J14" s="88" t="n">
        <x:v>1</x:v>
      </x:c>
      <x:c r="K14" s="88" t="str">
        <x:v>昭通市的昭通机场 / 45 分钟</x:v>
      </x:c>
      <x:c r="L14" s="88" t="str">
        <x:v>3 小时 10 分钟</x:v>
      </x:c>
      <x:c r="M14" s="89" t="n">
        <x:v>1863</x:v>
      </x:c>
      <x:c r="N14" s="89" t="n">
        <x:v>0</x:v>
      </x:c>
      <x:c r="O14" s="89" t="n">
        <x:f>M14+N14</x:f>
        <x:v>1863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46267.748189398146</x:v>
      </x:c>
      <x:c r="T14" s="92" t="str">
        <x:v>https://www.google.com/travel/flights?hl=zh-CN&amp;curr=CNY&amp;q=Flights%20from%20Chongqing%20to%20JHG%20from%202026-10-02%20to%202026-10-09</x:v>
      </x:c>
      <x:c r="U14" s="136"/>
      <x:c r="V14" s="90"/>
      <x:c r="W14" s="90"/>
      <x:c r="X14" s="137"/>
      <x:c r="Y14" s="90"/>
      <x:c r="Z14" s="90"/>
      <x:c r="AA14" s="90"/>
      <x:c r="AB14" s="90"/>
      <x:c r="AC14" s="90"/>
      <x:c r="AD14" s="138"/>
      <x:c r="AE14" s="90" t="str">
        <x:v>去程当前未找到，返程待核验</x:v>
      </x:c>
      <x:c r="AF14" s="92" t="str">
        <x:v>https://www.google.com/travel/flights?hl=zh-CN&amp;curr=CNY&amp;q=Flights%20from%20Chongqing%20to%20JHG%20from%202026-10-02%20to%202026-10-09</x:v>
      </x:c>
    </x:row>
    <x:row r="15" ht="42" customHeight="1">
      <x:c r="A15" s="85" t="n">
        <x:f>ROW()-7</x:f>
        <x:v>8</x:v>
      </x:c>
      <x:c r="B15" s="86" t="n">
        <x:v>46297</x:v>
      </x:c>
      <x:c r="C15" s="86" t="n">
        <x:v>46304</x:v>
      </x:c>
      <x:c r="D15" s="87" t="n">
        <x:v>7</x:v>
      </x:c>
      <x:c r="E15" s="88" t="str">
        <x:v>川航</x:v>
      </x:c>
      <x:c r="F15" s="88" t="str">
        <x:v>11:45</x:v>
      </x:c>
      <x:c r="G15" s="88" t="str">
        <x:v>13:35</x:v>
      </x:c>
      <x:c r="H15" s="88" t="str">
        <x:v>重庆江北国际机场</x:v>
      </x:c>
      <x:c r="I15" s="88" t="str">
        <x:v>西双版纳嘎洒国际机场</x:v>
      </x:c>
      <x:c r="J15" s="88" t="n">
        <x:v>0</x:v>
      </x:c>
      <x:c r="K15" s="88" t="str">
        <x:v>—</x:v>
      </x:c>
      <x:c r="L15" s="88" t="str">
        <x:v>1 小时 50 分钟</x:v>
      </x:c>
      <x:c r="M15" s="89" t="n">
        <x:v>1926</x:v>
      </x:c>
      <x:c r="N15" s="89" t="n">
        <x:v>0</x:v>
      </x:c>
      <x:c r="O15" s="89" t="n">
        <x:f>M15+N15</x:f>
        <x:v>1926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46267.748189398146</x:v>
      </x:c>
      <x:c r="T15" s="92" t="str">
        <x:v>https://www.google.com/travel/flights?hl=zh-CN&amp;curr=CNY&amp;q=Flights%20from%20Chongqing%20to%20JHG%20from%202026-10-02%20to%202026-10-09</x:v>
      </x:c>
      <x:c r="U15" s="136" t="n">
        <x:v>46304</x:v>
      </x:c>
      <x:c r="V15" s="90" t="str">
        <x:v>10:55</x:v>
      </x:c>
      <x:c r="W15" s="90" t="str">
        <x:v>西双版纳嘎洒国际机场</x:v>
      </x:c>
      <x:c r="X15" s="137" t="n">
        <x:v>46304</x:v>
      </x:c>
      <x:c r="Y15" s="90" t="str">
        <x:v>14:15</x:v>
      </x:c>
      <x:c r="Z15" s="90" t="str">
        <x:v>重庆江北国际机场</x:v>
      </x:c>
      <x:c r="AA15" s="90" t="str">
        <x:v>华夏航空</x:v>
      </x:c>
      <x:c r="AB15" s="90" t="n">
        <x:v>1</x:v>
      </x:c>
      <x:c r="AC15" s="90" t="str">
        <x:v>3 小时 20 分钟</x:v>
      </x:c>
      <x:c r="AD15" s="138"/>
      <x:c r="AE15" s="90" t="str">
        <x:v>当前返程列表无价格，采用排序第一条</x:v>
      </x:c>
      <x:c r="AF15" s="92" t="str">
        <x:v>https://www.google.com/travel/flights/search?tfs=CBwQAhpGEgoyMDI2LTEwLTAyIiAKA0NLRxIKMjAyNi0xMC0wMhoDSkhHKgIzVTIEMzU1MWoNCAISCS9tLzAxNzIzNnIHCAESA0pIRxokEgoyMDI2LTEwLTA5agcIARIDSkhHcg0IAhIJL20vMDE3MjM2QAFIAXABggELCP___________wGYAQE&amp;tfu=ClhDalJJTlU5V1JHUmlTbE5GWkVsQlEyWmlhVUZDUnkwdExTMHRMUzB0YzJWaVluRXlOa0ZCUVVGQlIzRlpSSGhaUkhsRU5HVkJFZ1l6VlRNMU5URTRIQT09EgYIACACKAEiAA&amp;hl=zh-CN&amp;curr=CNY</x:v>
      </x:c>
    </x:row>
    <x:row r="16" ht="42" customHeight="1">
      <x:c r="A16" s="85" t="n">
        <x:f>ROW()-7</x:f>
        <x:v>9</x:v>
      </x:c>
      <x:c r="B16" s="86" t="n">
        <x:v>46298</x:v>
      </x:c>
      <x:c r="C16" s="86" t="n">
        <x:v>46303</x:v>
      </x:c>
      <x:c r="D16" s="87" t="n">
        <x:v>5</x:v>
      </x:c>
      <x:c r="E16" s="88" t="str">
        <x:v>川航</x:v>
      </x:c>
      <x:c r="F16" s="88" t="str">
        <x:v>11:45</x:v>
      </x:c>
      <x:c r="G16" s="88" t="str">
        <x:v>13:35</x:v>
      </x:c>
      <x:c r="H16" s="88" t="str">
        <x:v>重庆江北国际机场</x:v>
      </x:c>
      <x:c r="I16" s="88" t="str">
        <x:v>西双版纳嘎洒国际机场</x:v>
      </x:c>
      <x:c r="J16" s="88" t="n">
        <x:v>0</x:v>
      </x:c>
      <x:c r="K16" s="88" t="str">
        <x:v>—</x:v>
      </x:c>
      <x:c r="L16" s="88" t="str">
        <x:v>1 小时 50 分钟</x:v>
      </x:c>
      <x:c r="M16" s="89" t="n">
        <x:v>2123</x:v>
      </x:c>
      <x:c r="N16" s="89" t="n">
        <x:v>0</x:v>
      </x:c>
      <x:c r="O16" s="89" t="n">
        <x:f>M16+N16</x:f>
        <x:v>2123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46267.748189398146</x:v>
      </x:c>
      <x:c r="T16" s="92" t="str">
        <x:v>https://www.google.com/travel/flights?hl=zh-CN&amp;curr=CNY&amp;q=Flights%20from%20Chongqing%20to%20JHG%20from%202026-10-03%20to%202026-10-08</x:v>
      </x:c>
      <x:c r="U16" s="136" t="n">
        <x:v>46303</x:v>
      </x:c>
      <x:c r="V16" s="90" t="str">
        <x:v>10:45</x:v>
      </x:c>
      <x:c r="W16" s="90" t="str">
        <x:v>西双版纳嘎洒国际机场</x:v>
      </x:c>
      <x:c r="X16" s="137" t="n">
        <x:v>46303</x:v>
      </x:c>
      <x:c r="Y16" s="90" t="str">
        <x:v>13:50</x:v>
      </x:c>
      <x:c r="Z16" s="90" t="str">
        <x:v>重庆江北国际机场</x:v>
      </x:c>
      <x:c r="AA16" s="90" t="str">
        <x:v>华夏航空</x:v>
      </x:c>
      <x:c r="AB16" s="90" t="n">
        <x:v>1</x:v>
      </x:c>
      <x:c r="AC16" s="90" t="str">
        <x:v>3 小时 5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GEgoyMDI2LTEwLTAzIiAKA0NLRxIKMjAyNi0xMC0wMxoDSkhHKgIzVTIEMzU1MWoNCAISCS9tLzAxNzIzNnIHCAESA0pIRxokEgoyMDI2LTEwLTA4agcIARIDSkhHcg0IAhIJL20vMDE3MjM2QAFIAXABggELCP___________wGYAQE&amp;tfu=ClhDalJJTjI1cVh5MTFabXBWVjI5QlJYQkVSV2RDUnkwdExTMHRMWE5sZEc0eU5pMXVNVUZCUVVGQlIzRlpSSGc0U1dvNU9HdEJFZ1l6VlRNMU5URTRIQT09EgYIACACKAEiAA&amp;hl=zh-CN&amp;curr=CNY</x:v>
      </x:c>
    </x:row>
    <x:row r="17" ht="42" customHeight="1">
      <x:c r="A17" s="85" t="n">
        <x:f>ROW()-7</x:f>
        <x:v>10</x:v>
      </x:c>
      <x:c r="B17" s="86" t="n">
        <x:v>46298</x:v>
      </x:c>
      <x:c r="C17" s="86" t="n">
        <x:v>46303</x:v>
      </x:c>
      <x:c r="D17" s="87" t="n">
        <x:v>5</x:v>
      </x:c>
      <x:c r="E17" s="88" t="str">
        <x:v>中国西部航空</x:v>
      </x:c>
      <x:c r="F17" s="88" t="str">
        <x:v>18:40</x:v>
      </x:c>
      <x:c r="G17" s="88" t="str">
        <x:v>20:40</x:v>
      </x:c>
      <x:c r="H17" s="88" t="str">
        <x:v>重庆江北国际机场</x:v>
      </x:c>
      <x:c r="I17" s="88" t="str">
        <x:v>西双版纳嘎洒国际机场</x:v>
      </x:c>
      <x:c r="J17" s="88" t="n">
        <x:v>0</x:v>
      </x:c>
      <x:c r="K17" s="88" t="str">
        <x:v>—</x:v>
      </x:c>
      <x:c r="L17" s="88" t="str">
        <x:v>2 小时</x:v>
      </x:c>
      <x:c r="M17" s="89" t="n">
        <x:v>1469</x:v>
      </x:c>
      <x:c r="N17" s="89" t="n">
        <x:v>800</x:v>
      </x:c>
      <x:c r="O17" s="89" t="n">
        <x:f>M17+N17</x:f>
        <x:v>2269</x:v>
      </x:c>
      <x:c r="P17" s="88" t="str">
        <x:f>IF(O17&lt;5000,"是","否")</x:f>
        <x:v>是</x:v>
      </x:c>
      <x:c r="Q17" s="90" t="str">
        <x:v>差异化行李票价等级未知；按每程20kg最多¥400、往返保守预留¥800</x:v>
      </x:c>
      <x:c r="R17" s="90" t="str">
        <x:v>该去程对应的最低可订返程组合；具体返程航班需打开来源链接确认</x:v>
      </x:c>
      <x:c r="S17" s="91" t="n">
        <x:v>46267.748189398146</x:v>
      </x:c>
      <x:c r="T17" s="92" t="str">
        <x:v>https://www.google.com/travel/flights?hl=zh-CN&amp;curr=CNY&amp;q=Flights%20from%20Chongqing%20to%20JHG%20from%202026-10-03%20to%202026-10-08</x:v>
      </x:c>
      <x:c r="U17" s="136" t="n">
        <x:v>46303</x:v>
      </x:c>
      <x:c r="V17" s="90" t="str">
        <x:v>21:25</x:v>
      </x:c>
      <x:c r="W17" s="90" t="str">
        <x:v>西双版纳嘎洒国际机场</x:v>
      </x:c>
      <x:c r="X17" s="137" t="n">
        <x:v>46303</x:v>
      </x:c>
      <x:c r="Y17" s="90" t="str">
        <x:v>23:25</x:v>
      </x:c>
      <x:c r="Z17" s="90" t="str">
        <x:v>重庆江北国际机场</x:v>
      </x:c>
      <x:c r="AA17" s="90" t="str">
        <x:v>中国西部航空</x:v>
      </x:c>
      <x:c r="AB17" s="90" t="n">
        <x:v>0</x:v>
      </x:c>
      <x:c r="AC17" s="90" t="str">
        <x:v>2 小时</x:v>
      </x:c>
      <x:c r="AD17" s="138"/>
      <x:c r="AE17" s="90" t="str">
        <x:v>当前返程列表无价格，采用排序第一条</x:v>
      </x:c>
      <x:c r="AF17" s="92" t="str">
        <x:v>https://www.google.com/travel/flights/search?tfs=CBwQAhpGEgoyMDI2LTEwLTAzIiAKA0NLRxIKMjAyNi0xMC0wMxoDSkhHKgJQTjIENjQwM2oNCAISCS9tLzAxNzIzNnIHCAESA0pIRxokEgoyMDI2LTEwLTA4agcIARIDSkhHcg0IAhIJL20vMDE3MjM2QAFIAXABggELCP___________wGYAQE&amp;tfu=ClhDalJJV0Raek9XaExUWEpYVGtsQlJYRk9SSGRDUnkwdExTMHRMUzF6WlhSdE9DMXVNVUZCUVVGQlIzRlpSSGc0UjNKUVoxbEJFZ1pRVGpZME1ETTRIUT09EgIIACIDCgEw&amp;hl=zh-CN&amp;curr=CNY</x:v>
      </x:c>
    </x:row>
    <x:row r="18" ht="42" customHeight="1">
      <x:c r="A18" s="85" t="n">
        <x:f>ROW()-7</x:f>
        <x:v>11</x:v>
      </x:c>
      <x:c r="B18" s="86" t="n">
        <x:v>46298</x:v>
      </x:c>
      <x:c r="C18" s="86" t="n">
        <x:v>46303</x:v>
      </x:c>
      <x:c r="D18" s="87" t="n">
        <x:v>5</x:v>
      </x:c>
      <x:c r="E18" s="88" t="str">
        <x:v>祥鹏航空</x:v>
      </x:c>
      <x:c r="F18" s="88" t="str">
        <x:v>21:25</x:v>
      </x:c>
      <x:c r="G18" s="88" t="str">
        <x:v>23:35</x:v>
      </x:c>
      <x:c r="H18" s="88" t="str">
        <x:v>重庆江北国际机场</x:v>
      </x:c>
      <x:c r="I18" s="88" t="str">
        <x:v>西双版纳嘎洒国际机场</x:v>
      </x:c>
      <x:c r="J18" s="88" t="n">
        <x:v>0</x:v>
      </x:c>
      <x:c r="K18" s="88" t="str">
        <x:v>—</x:v>
      </x:c>
      <x:c r="L18" s="88" t="str">
        <x:v>2 小时 10 分钟</x:v>
      </x:c>
      <x:c r="M18" s="89" t="n">
        <x:v>1488</x:v>
      </x:c>
      <x:c r="N18" s="89" t="n">
        <x:v>800</x:v>
      </x:c>
      <x:c r="O18" s="89" t="n">
        <x:f>M18+N18</x:f>
        <x:v>2288</x:v>
      </x:c>
      <x:c r="P18" s="88" t="str">
        <x:f>IF(O18&lt;5000,"是","否")</x:f>
        <x:v>是</x:v>
      </x:c>
      <x:c r="Q18" s="90" t="str">
        <x:v>差异化行李票价等级未知；按每程20kg最多¥400、往返保守预留¥800</x:v>
      </x:c>
      <x:c r="R18" s="90" t="str">
        <x:v>该去程对应的最低可订返程组合；具体返程航班需打开来源链接确认</x:v>
      </x:c>
      <x:c r="S18" s="91" t="n">
        <x:v>46267.748189398146</x:v>
      </x:c>
      <x:c r="T18" s="92" t="str">
        <x:v>https://www.google.com/travel/flights?hl=zh-CN&amp;curr=CNY&amp;q=Flights%20from%20Chongqing%20to%20JHG%20from%202026-10-03%20to%202026-10-08</x:v>
      </x:c>
      <x:c r="U18" s="136"/>
      <x:c r="V18" s="90"/>
      <x:c r="W18" s="90"/>
      <x:c r="X18" s="137"/>
      <x:c r="Y18" s="90"/>
      <x:c r="Z18" s="90"/>
      <x:c r="AA18" s="90"/>
      <x:c r="AB18" s="90"/>
      <x:c r="AC18" s="90"/>
      <x:c r="AD18" s="138"/>
      <x:c r="AE18" s="90" t="str">
        <x:v>去程当前未找到，返程待核验</x:v>
      </x:c>
      <x:c r="AF18" s="92" t="str">
        <x:v>https://www.google.com/travel/flights?hl=zh-CN&amp;curr=CNY&amp;q=Flights%20from%20Chongqing%20to%20JHG%20from%202026-10-03%20to%202026-10-08</x:v>
      </x:c>
    </x:row>
    <x:row r="19" ht="42" customHeight="1">
      <x:c r="A19" s="85" t="n">
        <x:f>ROW()-7</x:f>
        <x:v>12</x:v>
      </x:c>
      <x:c r="B19" s="86" t="n">
        <x:v>46297</x:v>
      </x:c>
      <x:c r="C19" s="86" t="n">
        <x:v>46302</x:v>
      </x:c>
      <x:c r="D19" s="87" t="n">
        <x:v>5</x:v>
      </x:c>
      <x:c r="E19" s="88" t="str">
        <x:v>深航</x:v>
      </x:c>
      <x:c r="F19" s="88" t="str">
        <x:v>07:00</x:v>
      </x:c>
      <x:c r="G19" s="88" t="str">
        <x:v>10:10</x:v>
      </x:c>
      <x:c r="H19" s="88" t="str">
        <x:v>重庆江北国际机场</x:v>
      </x:c>
      <x:c r="I19" s="88" t="str">
        <x:v>西双版纳嘎洒国际机场</x:v>
      </x:c>
      <x:c r="J19" s="88" t="n">
        <x:v>0</x:v>
      </x:c>
      <x:c r="K19" s="88" t="str">
        <x:v>—</x:v>
      </x:c>
      <x:c r="L19" s="88" t="str">
        <x:v>3 小时 10 分钟</x:v>
      </x:c>
      <x:c r="M19" s="89" t="n">
        <x:v>2385</x:v>
      </x:c>
      <x:c r="N19" s="89" t="n">
        <x:v>0</x:v>
      </x:c>
      <x:c r="O19" s="89" t="n">
        <x:f>M19+N19</x:f>
        <x:v>2385</x:v>
      </x:c>
      <x:c r="P19" s="88" t="str">
        <x:f>IF(O19&lt;5000,"是","否")</x:f>
        <x:v>是</x:v>
      </x:c>
      <x:c r="Q19" s="90" t="str">
        <x:v>国内经济舱通常含20kg；出票前须按实际票价等级复核</x:v>
      </x:c>
      <x:c r="R19" s="90" t="str">
        <x:v>该去程对应的最低可订返程组合；具体返程航班需打开来源链接确认</x:v>
      </x:c>
      <x:c r="S19" s="91" t="n">
        <x:v>46267.748189398146</x:v>
      </x:c>
      <x:c r="T19" s="92" t="str">
        <x:v>https://www.google.com/travel/flights?hl=zh-CN&amp;curr=CNY&amp;q=Flights%20from%20Chongqing%20to%20JHG%20from%202026-10-02%20to%202026-10-07</x:v>
      </x:c>
      <x:c r="U19" s="136"/>
      <x:c r="V19" s="90"/>
      <x:c r="W19" s="90"/>
      <x:c r="X19" s="137"/>
      <x:c r="Y19" s="90"/>
      <x:c r="Z19" s="90"/>
      <x:c r="AA19" s="90"/>
      <x:c r="AB19" s="90"/>
      <x:c r="AC19" s="90"/>
      <x:c r="AD19" s="138"/>
      <x:c r="AE19" s="90" t="str">
        <x:v>去程当前未找到，返程待核验</x:v>
      </x:c>
      <x:c r="AF19" s="92" t="str">
        <x:v>https://www.google.com/travel/flights?hl=zh-CN&amp;curr=CNY&amp;q=Flights%20from%20Chongqing%20to%20JHG%20from%202026-10-02%20to%202026-10-07</x:v>
      </x:c>
    </x:row>
    <x:row r="20" ht="42" customHeight="1">
      <x:c r="A20" s="85" t="n">
        <x:f>ROW()-7</x:f>
        <x:v>13</x:v>
      </x:c>
      <x:c r="B20" s="86" t="n">
        <x:v>46297</x:v>
      </x:c>
      <x:c r="C20" s="86" t="n">
        <x:v>46302</x:v>
      </x:c>
      <x:c r="D20" s="87" t="n">
        <x:v>5</x:v>
      </x:c>
      <x:c r="E20" s="88" t="str">
        <x:v>南航</x:v>
      </x:c>
      <x:c r="F20" s="88" t="str">
        <x:v>07:15</x:v>
      </x:c>
      <x:c r="G20" s="88" t="str">
        <x:v>09:05</x:v>
      </x:c>
      <x:c r="H20" s="88" t="str">
        <x:v>重庆江北国际机场</x:v>
      </x:c>
      <x:c r="I20" s="88" t="str">
        <x:v>西双版纳嘎洒国际机场</x:v>
      </x:c>
      <x:c r="J20" s="88" t="n">
        <x:v>0</x:v>
      </x:c>
      <x:c r="K20" s="88" t="str">
        <x:v>—</x:v>
      </x:c>
      <x:c r="L20" s="88" t="str">
        <x:v>1 小时 50 分钟</x:v>
      </x:c>
      <x:c r="M20" s="89" t="n">
        <x:v>2422</x:v>
      </x:c>
      <x:c r="N20" s="89" t="n">
        <x:v>0</x:v>
      </x:c>
      <x:c r="O20" s="89" t="n">
        <x:f>M20+N20</x:f>
        <x:v>2422</x:v>
      </x:c>
      <x:c r="P20" s="88" t="str">
        <x:f>IF(O20&lt;5000,"是","否")</x:f>
        <x:v>是</x:v>
      </x:c>
      <x:c r="Q20" s="90" t="str">
        <x:v>国内经济舱通常含20kg；出票前须按实际票价等级复核</x:v>
      </x:c>
      <x:c r="R20" s="90" t="str">
        <x:v>该去程对应的最低可订返程组合；具体返程航班需打开来源链接确认</x:v>
      </x:c>
      <x:c r="S20" s="91" t="n">
        <x:v>46267.748189398146</x:v>
      </x:c>
      <x:c r="T20" s="92" t="str">
        <x:v>https://www.google.com/travel/flights?hl=zh-CN&amp;curr=CNY&amp;q=Flights%20from%20Chongqing%20to%20JHG%20from%202026-10-02%20to%202026-10-07</x:v>
      </x:c>
      <x:c r="U20" s="136" t="n">
        <x:v>46302</x:v>
      </x:c>
      <x:c r="V20" s="90" t="str">
        <x:v>09:50</x:v>
      </x:c>
      <x:c r="W20" s="90" t="str">
        <x:v>西双版纳嘎洒国际机场</x:v>
      </x:c>
      <x:c r="X20" s="137" t="n">
        <x:v>46302</x:v>
      </x:c>
      <x:c r="Y20" s="90" t="str">
        <x:v>11:50</x:v>
      </x:c>
      <x:c r="Z20" s="90" t="str">
        <x:v>重庆江北国际机场</x:v>
      </x:c>
      <x:c r="AA20" s="90" t="str">
        <x:v>南航</x:v>
      </x:c>
      <x:c r="AB20" s="90" t="n">
        <x:v>0</x:v>
      </x:c>
      <x:c r="AC20" s="90" t="str">
        <x:v>2 小时</x:v>
      </x:c>
      <x:c r="AD20" s="138" t="n">
        <x:v>3220</x:v>
      </x:c>
      <x:c r="AE20" s="90" t="str">
        <x:v>当前价格已变化，采用当前最低价返程</x:v>
      </x:c>
      <x:c r="AF20" s="92" t="str">
        <x:v>https://www.google.com/travel/flights/search?tfs=CBwQAhpGEgoyMDI2LTEwLTAyIiAKA0NLRxIKMjAyNi0xMC0wMhoDSkhHKgJDWjIEMjM3M2oNCAISCS9tLzAxNzIzNnIHCAESA0pIRxokEgoyMDI2LTEwLTA3agcIARIDSkhHcg0IAhIJL20vMDE3MjM2QAFIAXABggELCP___________wGYAQE&amp;tfu=CmxDalJJV25VMlpHdHJNMVpPY1ZsQlJVTkxSa0ZDUnkwdExTMHRMUzF6YlhWa015MXVNa0ZCUVVGQlIzRlpSSGxyUVVaV1JVbEJFZ1pEV2pJek56TWFDZ2lVR1JBQUdnTkRUbGs0SEhDbjlnST0SBggAIAIoASIDCgEw&amp;hl=zh-CN&amp;curr=CNY</x:v>
      </x:c>
    </x:row>
    <x:row r="21" ht="42" customHeight="1">
      <x:c r="A21" s="85" t="n">
        <x:f>ROW()-7</x:f>
        <x:v>14</x:v>
      </x:c>
      <x:c r="B21" s="86" t="n">
        <x:v>46296</x:v>
      </x:c>
      <x:c r="C21" s="86" t="n">
        <x:v>46301</x:v>
      </x:c>
      <x:c r="D21" s="87" t="n">
        <x:v>5</x:v>
      </x:c>
      <x:c r="E21" s="88" t="str">
        <x:v>华夏航空</x:v>
      </x:c>
      <x:c r="F21" s="88" t="str">
        <x:v>11:45</x:v>
      </x:c>
      <x:c r="G21" s="88" t="str">
        <x:v>13:35</x:v>
      </x:c>
      <x:c r="H21" s="88" t="str">
        <x:v>重庆江北国际机场</x:v>
      </x:c>
      <x:c r="I21" s="88" t="str">
        <x:v>西双版纳嘎洒国际机场</x:v>
      </x:c>
      <x:c r="J21" s="88" t="n">
        <x:v>0</x:v>
      </x:c>
      <x:c r="K21" s="88" t="str">
        <x:v>—</x:v>
      </x:c>
      <x:c r="L21" s="88" t="str">
        <x:v>1 小时 50 分钟</x:v>
      </x:c>
      <x:c r="M21" s="89" t="n">
        <x:v>2612</x:v>
      </x:c>
      <x:c r="N21" s="89" t="n">
        <x:v>0</x:v>
      </x:c>
      <x:c r="O21" s="89" t="n">
        <x:f>M21+N21</x:f>
        <x:v>2612</x:v>
      </x:c>
      <x:c r="P21" s="88" t="str">
        <x:f>IF(O21&lt;5000,"是","否")</x:f>
        <x:v>是</x:v>
      </x:c>
      <x:c r="Q21" s="90" t="str">
        <x:v>国内经济舱通常含20kg；出票前须按实际票价等级复核</x:v>
      </x:c>
      <x:c r="R21" s="90" t="str">
        <x:v>该去程对应的最低可订返程组合；具体返程航班需打开来源链接确认</x:v>
      </x:c>
      <x:c r="S21" s="91" t="n">
        <x:v>46267.748189398146</x:v>
      </x:c>
      <x:c r="T21" s="92" t="str">
        <x:v>https://www.google.com/travel/flights?hl=zh-CN&amp;curr=CNY&amp;q=Flights%20from%20Chongqing%20to%20JHG%20from%202026-10-01%20to%202026-10-06</x:v>
      </x:c>
      <x:c r="U21" s="136" t="n">
        <x:v>46301</x:v>
      </x:c>
      <x:c r="V21" s="90" t="str">
        <x:v>10:45</x:v>
      </x:c>
      <x:c r="W21" s="90" t="str">
        <x:v>西双版纳嘎洒国际机场</x:v>
      </x:c>
      <x:c r="X21" s="137" t="n">
        <x:v>46301</x:v>
      </x:c>
      <x:c r="Y21" s="90" t="str">
        <x:v>13:50</x:v>
      </x:c>
      <x:c r="Z21" s="90" t="str">
        <x:v>重庆江北国际机场</x:v>
      </x:c>
      <x:c r="AA21" s="90" t="str">
        <x:v>华夏航空</x:v>
      </x:c>
      <x:c r="AB21" s="90" t="n">
        <x:v>1</x:v>
      </x:c>
      <x:c r="AC21" s="90" t="str">
        <x:v>3 小时 5 分钟</x:v>
      </x:c>
      <x:c r="AD21" s="138"/>
      <x:c r="AE21" s="90" t="str">
        <x:v>当前返程列表无价格，采用排序第一条</x:v>
      </x:c>
      <x:c r="AF21" s="92" t="str">
        <x:v>https://www.google.com/travel/flights/search?tfs=CBwQAhpGEgoyMDI2LTEwLTAxIiAKA0NLRxIKMjAyNi0xMC0wMRoDSkhHKgIzVTIEMzU1MWoNCAISCS9tLzAxNzIzNnIHCAESA0pIRxokEgoyMDI2LTEwLTA2agcIARIDSkhHcg0IAhIJL20vMDE3MjM2QAFIAXABggELCP___________wGYAQE&amp;tfu=ClhDalJJYzJVMFgxRk5PR1JrWVZsQlJEVnpaVUZDUnkwdExTMHRMUzB0TFMxemJYUjVOa0ZCUVVGQlIzRlpSSGxyU0hKWlprbEJFZ1l6VlRNMU5URTRIQT09EgYIACACKAEiAA&amp;hl=zh-CN&amp;curr=CNY</x:v>
      </x:c>
    </x:row>
    <x:row r="22" ht="42" customHeight="1">
      <x:c r="A22" s="85" t="n">
        <x:f>ROW()-7</x:f>
        <x:v>15</x:v>
      </x:c>
      <x:c r="B22" s="86" t="n">
        <x:v>46296</x:v>
      </x:c>
      <x:c r="C22" s="86" t="n">
        <x:v>46301</x:v>
      </x:c>
      <x:c r="D22" s="87" t="n">
        <x:v>5</x:v>
      </x:c>
      <x:c r="E22" s="88" t="str">
        <x:v>川航</x:v>
      </x:c>
      <x:c r="F22" s="88" t="str">
        <x:v>11:45</x:v>
      </x:c>
      <x:c r="G22" s="88" t="str">
        <x:v>13:35</x:v>
      </x:c>
      <x:c r="H22" s="88" t="str">
        <x:v>重庆江北国际机场</x:v>
      </x:c>
      <x:c r="I22" s="88" t="str">
        <x:v>西双版纳嘎洒国际机场</x:v>
      </x:c>
      <x:c r="J22" s="88" t="n">
        <x:v>0</x:v>
      </x:c>
      <x:c r="K22" s="88" t="str">
        <x:v>—</x:v>
      </x:c>
      <x:c r="L22" s="88" t="str">
        <x:v>1 小时 50 分钟</x:v>
      </x:c>
      <x:c r="M22" s="89" t="n">
        <x:v>2612</x:v>
      </x:c>
      <x:c r="N22" s="89" t="n">
        <x:v>0</x:v>
      </x:c>
      <x:c r="O22" s="89" t="n">
        <x:f>M22+N22</x:f>
        <x:v>2612</x:v>
      </x:c>
      <x:c r="P22" s="88" t="str">
        <x:f>IF(O22&lt;5000,"是","否")</x:f>
        <x:v>是</x:v>
      </x:c>
      <x:c r="Q22" s="90" t="str">
        <x:v>国内经济舱通常含20kg；出票前须按实际票价等级复核</x:v>
      </x:c>
      <x:c r="R22" s="90" t="str">
        <x:v>该去程对应的最低可订返程组合；具体返程航班需打开来源链接确认</x:v>
      </x:c>
      <x:c r="S22" s="91" t="n">
        <x:v>46267.748189398146</x:v>
      </x:c>
      <x:c r="T22" s="92" t="str">
        <x:v>https://www.google.com/travel/flights?hl=zh-CN&amp;curr=CNY&amp;q=Flights%20from%20Chongqing%20to%20JHG%20from%202026-10-01%20to%202026-10-06</x:v>
      </x:c>
      <x:c r="U22" s="136" t="n">
        <x:v>46301</x:v>
      </x:c>
      <x:c r="V22" s="90" t="str">
        <x:v>10:45</x:v>
      </x:c>
      <x:c r="W22" s="90" t="str">
        <x:v>西双版纳嘎洒国际机场</x:v>
      </x:c>
      <x:c r="X22" s="137" t="n">
        <x:v>46301</x:v>
      </x:c>
      <x:c r="Y22" s="90" t="str">
        <x:v>13:50</x:v>
      </x:c>
      <x:c r="Z22" s="90" t="str">
        <x:v>重庆江北国际机场</x:v>
      </x:c>
      <x:c r="AA22" s="90" t="str">
        <x:v>华夏航空</x:v>
      </x:c>
      <x:c r="AB22" s="90" t="n">
        <x:v>1</x:v>
      </x:c>
      <x:c r="AC22" s="90" t="str">
        <x:v>3 小时 5 分钟</x:v>
      </x:c>
      <x:c r="AD22" s="138"/>
      <x:c r="AE22" s="90" t="str">
        <x:v>当前返程列表无价格，采用排序第一条</x:v>
      </x:c>
      <x:c r="AF22" s="92" t="str">
        <x:v>https://www.google.com/travel/flights/search?tfs=CBwQAhpGEgoyMDI2LTEwLTAxIiAKA0NLRxIKMjAyNi0xMC0wMRoDSkhHKgIzVTIEMzU1MWoNCAISCS9tLzAxNzIzNnIHCAESA0pIRxokEgoyMDI2LTEwLTA2agcIARIDSkhHcg0IAhIJL20vMDE3MjM2QAFIAXABggELCP___________wGYAQE&amp;tfu=ClhDalJJT1hWcVIzUnVRa3BOUjAxQlJVUmFNbmRDUnkwdExTMHRMWE50ZEhneE5pMXVNa0ZCUVVGQlIzRlpSSGxuVDB0WVJrbEJFZ1l6VlRNMU5URTRIQT09EgYIACACKAEiAA&amp;hl=zh-CN&amp;curr=CNY</x:v>
      </x:c>
    </x:row>
    <x:row r="23" ht="42" customHeight="1">
      <x:c r="A23" s="85" t="n">
        <x:f>ROW()-7</x:f>
        <x:v>16</x:v>
      </x:c>
      <x:c r="B23" s="86" t="n">
        <x:v>46297</x:v>
      </x:c>
      <x:c r="C23" s="86" t="n">
        <x:v>46302</x:v>
      </x:c>
      <x:c r="D23" s="87" t="n">
        <x:v>5</x:v>
      </x:c>
      <x:c r="E23" s="88" t="str">
        <x:v>祥鹏航空</x:v>
      </x:c>
      <x:c r="F23" s="88" t="str">
        <x:v>21:25</x:v>
      </x:c>
      <x:c r="G23" s="88" t="str">
        <x:v>23:35</x:v>
      </x:c>
      <x:c r="H23" s="88" t="str">
        <x:v>重庆江北国际机场</x:v>
      </x:c>
      <x:c r="I23" s="88" t="str">
        <x:v>西双版纳嘎洒国际机场</x:v>
      </x:c>
      <x:c r="J23" s="88" t="n">
        <x:v>0</x:v>
      </x:c>
      <x:c r="K23" s="88" t="str">
        <x:v>—</x:v>
      </x:c>
      <x:c r="L23" s="88" t="str">
        <x:v>2 小时 10 分钟</x:v>
      </x:c>
      <x:c r="M23" s="89" t="n">
        <x:v>2209</x:v>
      </x:c>
      <x:c r="N23" s="89" t="n">
        <x:v>800</x:v>
      </x:c>
      <x:c r="O23" s="89" t="n">
        <x:f>M23+N23</x:f>
        <x:v>3009</x:v>
      </x:c>
      <x:c r="P23" s="88" t="str">
        <x:f>IF(O23&lt;5000,"是","否")</x:f>
        <x:v>是</x:v>
      </x:c>
      <x:c r="Q23" s="90" t="str">
        <x:v>差异化行李票价等级未知；按每程20kg最多¥400、往返保守预留¥800</x:v>
      </x:c>
      <x:c r="R23" s="90" t="str">
        <x:v>该去程对应的最低可订返程组合；具体返程航班需打开来源链接确认</x:v>
      </x:c>
      <x:c r="S23" s="91" t="n">
        <x:v>46267.748189398146</x:v>
      </x:c>
      <x:c r="T23" s="92" t="str">
        <x:v>https://www.google.com/travel/flights?hl=zh-CN&amp;curr=CNY&amp;q=Flights%20from%20Chongqing%20to%20JHG%20from%202026-10-02%20to%202026-10-07</x:v>
      </x:c>
      <x:c r="U23" s="136"/>
      <x:c r="V23" s="90"/>
      <x:c r="W23" s="90"/>
      <x:c r="X23" s="137"/>
      <x:c r="Y23" s="90"/>
      <x:c r="Z23" s="90"/>
      <x:c r="AA23" s="90"/>
      <x:c r="AB23" s="90"/>
      <x:c r="AC23" s="90"/>
      <x:c r="AD23" s="138"/>
      <x:c r="AE23" s="90" t="str">
        <x:v>去程当前未找到，返程待核验</x:v>
      </x:c>
      <x:c r="AF23" s="92" t="str">
        <x:v>https://www.google.com/travel/flights?hl=zh-CN&amp;curr=CNY&amp;q=Flights%20from%20Chongqing%20to%20JHG%20from%202026-10-02%20to%202026-10-07</x:v>
      </x:c>
    </x:row>
    <x:row r="24" ht="42" customHeight="1">
      <x:c r="A24" s="85" t="n">
        <x:f>ROW()-7</x:f>
        <x:v>17</x:v>
      </x:c>
      <x:c r="B24" s="86" t="n">
        <x:v>46296</x:v>
      </x:c>
      <x:c r="C24" s="86" t="n">
        <x:v>46300</x:v>
      </x:c>
      <x:c r="D24" s="87" t="n">
        <x:v>4</x:v>
      </x:c>
      <x:c r="E24" s="88" t="str">
        <x:v>南航</x:v>
      </x:c>
      <x:c r="F24" s="88" t="str">
        <x:v>06:30</x:v>
      </x:c>
      <x:c r="G24" s="88" t="str">
        <x:v>08:35</x:v>
      </x:c>
      <x:c r="H24" s="88" t="str">
        <x:v>重庆江北国际机场</x:v>
      </x:c>
      <x:c r="I24" s="88" t="str">
        <x:v>西双版纳嘎洒国际机场</x:v>
      </x:c>
      <x:c r="J24" s="88" t="n">
        <x:v>0</x:v>
      </x:c>
      <x:c r="K24" s="88" t="str">
        <x:v>—</x:v>
      </x:c>
      <x:c r="L24" s="88" t="str">
        <x:v>2 小时 5 分钟</x:v>
      </x:c>
      <x:c r="M24" s="89" t="n">
        <x:v>3220</x:v>
      </x:c>
      <x:c r="N24" s="89" t="n">
        <x:v>0</x:v>
      </x:c>
      <x:c r="O24" s="89" t="n">
        <x:f>M24+N24</x:f>
        <x:v>3220</x:v>
      </x:c>
      <x:c r="P24" s="88" t="str">
        <x:f>IF(O24&lt;5000,"是","否")</x:f>
        <x:v>是</x:v>
      </x:c>
      <x:c r="Q24" s="90" t="str">
        <x:v>国内经济舱通常含20kg；出票前须按实际票价等级复核</x:v>
      </x:c>
      <x:c r="R24" s="90" t="str">
        <x:v>该去程对应的最低可订返程组合；具体返程航班需打开来源链接确认</x:v>
      </x:c>
      <x:c r="S24" s="91" t="n">
        <x:v>46267.748189398146</x:v>
      </x:c>
      <x:c r="T24" s="92" t="str">
        <x:v>https://www.google.com/travel/flights?hl=zh-CN&amp;curr=CNY&amp;q=Flights%20from%20Chongqing%20to%20JHG%20from%202026-10-01%20to%202026-10-05</x:v>
      </x:c>
      <x:c r="U24" s="136" t="n">
        <x:v>46300</x:v>
      </x:c>
      <x:c r="V24" s="90" t="str">
        <x:v>09:50</x:v>
      </x:c>
      <x:c r="W24" s="90" t="str">
        <x:v>西双版纳嘎洒国际机场</x:v>
      </x:c>
      <x:c r="X24" s="137" t="n">
        <x:v>46300</x:v>
      </x:c>
      <x:c r="Y24" s="90" t="str">
        <x:v>11:50</x:v>
      </x:c>
      <x:c r="Z24" s="90" t="str">
        <x:v>重庆江北国际机场</x:v>
      </x:c>
      <x:c r="AA24" s="90" t="str">
        <x:v>南航</x:v>
      </x:c>
      <x:c r="AB24" s="90" t="n">
        <x:v>0</x:v>
      </x:c>
      <x:c r="AC24" s="90" t="str">
        <x:v>2 小时</x:v>
      </x:c>
      <x:c r="AD24" s="138" t="n">
        <x:v>3220</x:v>
      </x:c>
      <x:c r="AE24" s="90" t="str">
        <x:v>匹配原始往返起价</x:v>
      </x:c>
      <x:c r="AF24" s="92" t="str">
        <x:v>https://www.google.com/travel/flights/search?tfs=CBwQAhpGEgoyMDI2LTEwLTAxIiAKA0NLRxIKMjAyNi0xMC0wMRoDSkhHKgJDWjIEMjM3M2oNCAISCS9tLzAxNzIzNnIHCAESA0pIRxokEgoyMDI2LTEwLTA1agcIARIDSkhHcg0IAhIJL20vMDE3MjM2QAFIAXABggELCP___________wGYAQE&amp;tfu=CmxDalJJT1hWcVIzUnVRa3BOUjAxQlJVUmtabmRDUnkwdExTMHRMWE50ZEhneE5pMXVNa0ZCUVVGQlIzRlpSSHBOUWtac01qUkJFZ1pEV2pJek56TWFDZ2lVR1JBQUdnTkRUbGs0SEhDbjlnST0SBggAIAIoASIDCgEw&amp;hl=zh-CN&amp;curr=CNY</x:v>
      </x:c>
    </x:row>
    <x:row r="25" ht="42" customHeight="1">
      <x:c r="A25" s="85" t="n">
        <x:f>ROW()-7</x:f>
        <x:v>18</x:v>
      </x:c>
      <x:c r="B25" s="86" t="n">
        <x:v>46296</x:v>
      </x:c>
      <x:c r="C25" s="86" t="n">
        <x:v>46301</x:v>
      </x:c>
      <x:c r="D25" s="87" t="n">
        <x:v>5</x:v>
      </x:c>
      <x:c r="E25" s="88" t="str">
        <x:v>南航</x:v>
      </x:c>
      <x:c r="F25" s="88" t="str">
        <x:v>06:30</x:v>
      </x:c>
      <x:c r="G25" s="88" t="str">
        <x:v>08:35</x:v>
      </x:c>
      <x:c r="H25" s="88" t="str">
        <x:v>重庆江北国际机场</x:v>
      </x:c>
      <x:c r="I25" s="88" t="str">
        <x:v>西双版纳嘎洒国际机场</x:v>
      </x:c>
      <x:c r="J25" s="88" t="n">
        <x:v>0</x:v>
      </x:c>
      <x:c r="K25" s="88" t="str">
        <x:v>—</x:v>
      </x:c>
      <x:c r="L25" s="88" t="str">
        <x:v>2 小时 5 分钟</x:v>
      </x:c>
      <x:c r="M25" s="89" t="n">
        <x:v>3220</x:v>
      </x:c>
      <x:c r="N25" s="89" t="n">
        <x:v>0</x:v>
      </x:c>
      <x:c r="O25" s="89" t="n">
        <x:f>M25+N25</x:f>
        <x:v>3220</x:v>
      </x:c>
      <x:c r="P25" s="88" t="str">
        <x:f>IF(O25&lt;5000,"是","否")</x:f>
        <x:v>是</x:v>
      </x:c>
      <x:c r="Q25" s="90" t="str">
        <x:v>国内经济舱通常含20kg；出票前须按实际票价等级复核</x:v>
      </x:c>
      <x:c r="R25" s="90" t="str">
        <x:v>该去程对应的最低可订返程组合；具体返程航班需打开来源链接确认</x:v>
      </x:c>
      <x:c r="S25" s="91" t="n">
        <x:v>46267.748189398146</x:v>
      </x:c>
      <x:c r="T25" s="92" t="str">
        <x:v>https://www.google.com/travel/flights?hl=zh-CN&amp;curr=CNY&amp;q=Flights%20from%20Chongqing%20to%20JHG%20from%202026-10-01%20to%202026-10-06</x:v>
      </x:c>
      <x:c r="U25" s="136" t="n">
        <x:v>46301</x:v>
      </x:c>
      <x:c r="V25" s="90" t="str">
        <x:v>09:20</x:v>
      </x:c>
      <x:c r="W25" s="90" t="str">
        <x:v>西双版纳嘎洒国际机场</x:v>
      </x:c>
      <x:c r="X25" s="137" t="n">
        <x:v>46301</x:v>
      </x:c>
      <x:c r="Y25" s="90" t="str">
        <x:v>11:25</x:v>
      </x:c>
      <x:c r="Z25" s="90" t="str">
        <x:v>重庆江北国际机场</x:v>
      </x:c>
      <x:c r="AA25" s="90" t="str">
        <x:v>南航</x:v>
      </x:c>
      <x:c r="AB25" s="90" t="n">
        <x:v>0</x:v>
      </x:c>
      <x:c r="AC25" s="90" t="str">
        <x:v>2 小时 5 分钟</x:v>
      </x:c>
      <x:c r="AD25" s="138" t="n">
        <x:v>3220</x:v>
      </x:c>
      <x:c r="AE25" s="90" t="str">
        <x:v>匹配原始往返起价</x:v>
      </x:c>
      <x:c r="AF25" s="92" t="str">
        <x:v>https://www.google.com/travel/flights/search?tfs=CBwQAhpGEgoyMDI2LTEwLTAxIiAKA0NLRxIKMjAyNi0xMC0wMRoDSkhHKgJDWjIEMjM3M2oNCAISCS9tLzAxNzIzNnIHCAESA0pIRxokEgoyMDI2LTEwLTA2agcIARIDSkhHcg0IAhIJL20vMDE3MjM2QAFIAXABggELCP___________wGYAQE&amp;tfu=CmxDalJJTlU4M1RFRndjM05IY25OQlJtSjBUSGRDUnkwdExTMHRMUzB0TFhOdFltUm5ORUZCUVVGQlIzRlpSSHBOUTJwVVRFRkJFZ1pEV2pJek56TWFDZ2lVR1JBQUdnTkRUbGs0SEhDbjlnST0SBggAIAIoASIDCgEw&amp;hl=zh-CN&amp;curr=CNY</x:v>
      </x:c>
    </x:row>
    <x:row r="26" ht="42" customHeight="1">
      <x:c r="A26" s="85" t="n">
        <x:f>ROW()-7</x:f>
        <x:v>19</x:v>
      </x:c>
      <x:c r="B26" s="86" t="n">
        <x:v>46296</x:v>
      </x:c>
      <x:c r="C26" s="86" t="n">
        <x:v>46302</x:v>
      </x:c>
      <x:c r="D26" s="87" t="n">
        <x:v>6</x:v>
      </x:c>
      <x:c r="E26" s="88" t="str">
        <x:v>南航</x:v>
      </x:c>
      <x:c r="F26" s="88" t="str">
        <x:v>06:30</x:v>
      </x:c>
      <x:c r="G26" s="88" t="str">
        <x:v>08:35</x:v>
      </x:c>
      <x:c r="H26" s="88" t="str">
        <x:v>重庆江北国际机场</x:v>
      </x:c>
      <x:c r="I26" s="88" t="str">
        <x:v>西双版纳嘎洒国际机场</x:v>
      </x:c>
      <x:c r="J26" s="88" t="n">
        <x:v>0</x:v>
      </x:c>
      <x:c r="K26" s="88" t="str">
        <x:v>—</x:v>
      </x:c>
      <x:c r="L26" s="88" t="str">
        <x:v>2 小时 5 分钟</x:v>
      </x:c>
      <x:c r="M26" s="89" t="n">
        <x:v>3220</x:v>
      </x:c>
      <x:c r="N26" s="89" t="n">
        <x:v>0</x:v>
      </x:c>
      <x:c r="O26" s="89" t="n">
        <x:f>M26+N26</x:f>
        <x:v>3220</x:v>
      </x:c>
      <x:c r="P26" s="88" t="str">
        <x:f>IF(O26&lt;5000,"是","否")</x:f>
        <x:v>是</x:v>
      </x:c>
      <x:c r="Q26" s="90" t="str">
        <x:v>国内经济舱通常含20kg；出票前须按实际票价等级复核</x:v>
      </x:c>
      <x:c r="R26" s="90" t="str">
        <x:v>该去程对应的最低可订返程组合；具体返程航班需打开来源链接确认</x:v>
      </x:c>
      <x:c r="S26" s="91" t="n">
        <x:v>46267.748189398146</x:v>
      </x:c>
      <x:c r="T26" s="92" t="str">
        <x:v>https://www.google.com/travel/flights?hl=zh-CN&amp;curr=CNY&amp;q=Flights%20from%20Chongqing%20to%20JHG%20from%202026-10-01%20to%202026-10-07</x:v>
      </x:c>
      <x:c r="U26" s="136" t="n">
        <x:v>46302</x:v>
      </x:c>
      <x:c r="V26" s="90" t="str">
        <x:v>09:50</x:v>
      </x:c>
      <x:c r="W26" s="90" t="str">
        <x:v>西双版纳嘎洒国际机场</x:v>
      </x:c>
      <x:c r="X26" s="137" t="n">
        <x:v>46302</x:v>
      </x:c>
      <x:c r="Y26" s="90" t="str">
        <x:v>11:50</x:v>
      </x:c>
      <x:c r="Z26" s="90" t="str">
        <x:v>重庆江北国际机场</x:v>
      </x:c>
      <x:c r="AA26" s="90" t="str">
        <x:v>南航</x:v>
      </x:c>
      <x:c r="AB26" s="90" t="n">
        <x:v>0</x:v>
      </x:c>
      <x:c r="AC26" s="90" t="str">
        <x:v>2 小时</x:v>
      </x:c>
      <x:c r="AD26" s="138" t="n">
        <x:v>3220</x:v>
      </x:c>
      <x:c r="AE26" s="90" t="str">
        <x:v>匹配原始往返起价</x:v>
      </x:c>
      <x:c r="AF26" s="92" t="str">
        <x:v>https://www.google.com/travel/flights/search?tfs=CBwQAhpGEgoyMDI2LTEwLTAxIiAKA0NLRxIKMjAyNi0xMC0wMRoDSkhHKgJDWjIEMjM3M2oNCAISCS9tLzAxNzIzNnIHCAESA0pIRxokEgoyMDI2LTEwLTA3agcIARIDSkhHcg0IAhIJL20vMDE3MjM2QAFIAXABggELCP___________wGYAQE&amp;tfu=CmxDalJJTFdzelFXRXhNM05FT1ZGQlJWWjRURkZDUnkwdExTMHRMUzB0TFMxelpXRmtOa0ZCUVVGQlIzRlpSSHBOUW5GVU9VbEJFZ1pEV2pJek56TWFDZ2lVR1JBQUdnTkRUbGs0SEhDbjlnST0SBggAIAIoASIDCgEw&amp;hl=zh-CN&amp;curr=CNY</x:v>
      </x:c>
    </x:row>
    <x:row r="27" ht="42" customHeight="1">
      <x:c r="A27" s="85" t="n">
        <x:f>ROW()-7</x:f>
        <x:v>20</x:v>
      </x:c>
      <x:c r="B27" s="86" t="n">
        <x:v>46297</x:v>
      </x:c>
      <x:c r="C27" s="86" t="n">
        <x:v>46301</x:v>
      </x:c>
      <x:c r="D27" s="87" t="n">
        <x:v>4</x:v>
      </x:c>
      <x:c r="E27" s="88" t="str">
        <x:v>南航</x:v>
      </x:c>
      <x:c r="F27" s="88" t="str">
        <x:v>07:15</x:v>
      </x:c>
      <x:c r="G27" s="88" t="str">
        <x:v>09:05</x:v>
      </x:c>
      <x:c r="H27" s="88" t="str">
        <x:v>重庆江北国际机场</x:v>
      </x:c>
      <x:c r="I27" s="88" t="str">
        <x:v>西双版纳嘎洒国际机场</x:v>
      </x:c>
      <x:c r="J27" s="88" t="n">
        <x:v>0</x:v>
      </x:c>
      <x:c r="K27" s="88" t="str">
        <x:v>—</x:v>
      </x:c>
      <x:c r="L27" s="88" t="str">
        <x:v>1 小时 50 分钟</x:v>
      </x:c>
      <x:c r="M27" s="89" t="n">
        <x:v>3220</x:v>
      </x:c>
      <x:c r="N27" s="89" t="n">
        <x:v>0</x:v>
      </x:c>
      <x:c r="O27" s="89" t="n">
        <x:f>M27+N27</x:f>
        <x:v>3220</x:v>
      </x:c>
      <x:c r="P27" s="88" t="str">
        <x:f>IF(O27&lt;5000,"是","否")</x:f>
        <x:v>是</x:v>
      </x:c>
      <x:c r="Q27" s="90" t="str">
        <x:v>国内经济舱通常含20kg；出票前须按实际票价等级复核</x:v>
      </x:c>
      <x:c r="R27" s="90" t="str">
        <x:v>该去程对应的最低可订返程组合；具体返程航班需打开来源链接确认</x:v>
      </x:c>
      <x:c r="S27" s="91" t="n">
        <x:v>46267.748189398146</x:v>
      </x:c>
      <x:c r="T27" s="92" t="str">
        <x:v>https://www.google.com/travel/flights?hl=zh-CN&amp;curr=CNY&amp;q=Flights%20from%20Chongqing%20to%20JHG%20from%202026-10-02%20to%202026-10-06</x:v>
      </x:c>
      <x:c r="U27" s="136" t="n">
        <x:v>46301</x:v>
      </x:c>
      <x:c r="V27" s="90" t="str">
        <x:v>09:20</x:v>
      </x:c>
      <x:c r="W27" s="90" t="str">
        <x:v>西双版纳嘎洒国际机场</x:v>
      </x:c>
      <x:c r="X27" s="137" t="n">
        <x:v>46301</x:v>
      </x:c>
      <x:c r="Y27" s="90" t="str">
        <x:v>11:25</x:v>
      </x:c>
      <x:c r="Z27" s="90" t="str">
        <x:v>重庆江北国际机场</x:v>
      </x:c>
      <x:c r="AA27" s="90" t="str">
        <x:v>南航</x:v>
      </x:c>
      <x:c r="AB27" s="90" t="n">
        <x:v>0</x:v>
      </x:c>
      <x:c r="AC27" s="90" t="str">
        <x:v>2 小时 5 分钟</x:v>
      </x:c>
      <x:c r="AD27" s="138" t="n">
        <x:v>3220</x:v>
      </x:c>
      <x:c r="AE27" s="90" t="str">
        <x:v>匹配原始往返起价</x:v>
      </x:c>
      <x:c r="AF27" s="92" t="str">
        <x:v>https://www.google.com/travel/flights/search?tfs=CBwQAhpGEgoyMDI2LTEwLTAyIiAKA0NLRxIKMjAyNi0xMC0wMhoDSkhHKgJDWjIEMjM3M2oNCAISCS9tLzAxNzIzNnIHCAESA0pIRxokEgoyMDI2LTEwLTA2agcIARIDSkhHcg0IAhIJL20vMDE3MjM2QAFIAXABggELCP___________wGYAQE&amp;tfu=CmxDalJJVGxGb1IzSTNiM1ZaTUVsQlJXMWZhSGRDUnkwdExTMHRMUzB0TFhObGRYVXlNa0ZCUVVGQlIzRlpSSHBOUTBOSU1HVkJFZ1pEV2pJek56TWFDZ2lVR1JBQUdnTkRUbGs0SEhDbjlnST0SBggAIAIoASIDCgEw&amp;hl=zh-CN&amp;curr=CNY</x:v>
      </x:c>
    </x:row>
    <x:row r="28" ht="42" customHeight="1">
      <x:c r="A28" s="85" t="n">
        <x:f>ROW()-7</x:f>
        <x:v>21</x:v>
      </x:c>
      <x:c r="B28" s="86" t="n">
        <x:v>46297</x:v>
      </x:c>
      <x:c r="C28" s="86" t="n">
        <x:v>46303</x:v>
      </x:c>
      <x:c r="D28" s="87" t="n">
        <x:v>6</x:v>
      </x:c>
      <x:c r="E28" s="88" t="str">
        <x:v>南航</x:v>
      </x:c>
      <x:c r="F28" s="88" t="str">
        <x:v>07:15</x:v>
      </x:c>
      <x:c r="G28" s="88" t="str">
        <x:v>09:05</x:v>
      </x:c>
      <x:c r="H28" s="88" t="str">
        <x:v>重庆江北国际机场</x:v>
      </x:c>
      <x:c r="I28" s="88" t="str">
        <x:v>西双版纳嘎洒国际机场</x:v>
      </x:c>
      <x:c r="J28" s="88" t="n">
        <x:v>0</x:v>
      </x:c>
      <x:c r="K28" s="88" t="str">
        <x:v>—</x:v>
      </x:c>
      <x:c r="L28" s="88" t="str">
        <x:v>1 小时 50 分钟</x:v>
      </x:c>
      <x:c r="M28" s="89" t="n">
        <x:v>3220</x:v>
      </x:c>
      <x:c r="N28" s="89" t="n">
        <x:v>0</x:v>
      </x:c>
      <x:c r="O28" s="89" t="n">
        <x:f>M28+N28</x:f>
        <x:v>3220</x:v>
      </x:c>
      <x:c r="P28" s="88" t="str">
        <x:f>IF(O28&lt;5000,"是","否")</x:f>
        <x:v>是</x:v>
      </x:c>
      <x:c r="Q28" s="90" t="str">
        <x:v>国内经济舱通常含20kg；出票前须按实际票价等级复核</x:v>
      </x:c>
      <x:c r="R28" s="90" t="str">
        <x:v>该去程对应的最低可订返程组合；具体返程航班需打开来源链接确认</x:v>
      </x:c>
      <x:c r="S28" s="91" t="n">
        <x:v>46267.748189398146</x:v>
      </x:c>
      <x:c r="T28" s="92" t="str">
        <x:v>https://www.google.com/travel/flights?hl=zh-CN&amp;curr=CNY&amp;q=Flights%20from%20Chongqing%20to%20JHG%20from%202026-10-02%20to%202026-10-08</x:v>
      </x:c>
      <x:c r="U28" s="136" t="n">
        <x:v>46303</x:v>
      </x:c>
      <x:c r="V28" s="90" t="str">
        <x:v>09:20</x:v>
      </x:c>
      <x:c r="W28" s="90" t="str">
        <x:v>西双版纳嘎洒国际机场</x:v>
      </x:c>
      <x:c r="X28" s="137" t="n">
        <x:v>46303</x:v>
      </x:c>
      <x:c r="Y28" s="90" t="str">
        <x:v>11:25</x:v>
      </x:c>
      <x:c r="Z28" s="90" t="str">
        <x:v>重庆江北国际机场</x:v>
      </x:c>
      <x:c r="AA28" s="90" t="str">
        <x:v>南航</x:v>
      </x:c>
      <x:c r="AB28" s="90" t="n">
        <x:v>0</x:v>
      </x:c>
      <x:c r="AC28" s="90" t="str">
        <x:v>2 小时 5 分钟</x:v>
      </x:c>
      <x:c r="AD28" s="138" t="n">
        <x:v>3220</x:v>
      </x:c>
      <x:c r="AE28" s="90" t="str">
        <x:v>匹配原始往返起价</x:v>
      </x:c>
      <x:c r="AF28" s="92" t="str">
        <x:v>https://www.google.com/travel/flights/search?tfs=CBwQAhpGEgoyMDI2LTEwLTAyIiAKA0NLRxIKMjAyNi0xMC0wMhoDSkhHKgJDWjIEMjM3M2oNCAISCS9tLzAxNzIzNnIHCAESA0pIRxokEgoyMDI2LTEwLTA4agcIARIDSkhHcg0IAhIJL20vMDE3MjM2QAFIAXABggELCP___________wGYAQE&amp;tfu=CmxDalJJV25VMlpHdHJNMVpPY1ZsQlJVUTRWRkZDUnkwdExTMHRMUzF6YlhWa015MXVNa0ZCUVVGQlIzRlpSVWQzU1RsdWJTMUJFZ1pEV2pJek56TWFDZ2lVR1JBQUdnTkRUbGs0SEhDbjlnST0SAggAIgMKATA&amp;hl=zh-CN&amp;curr=CNY</x:v>
      </x:c>
    </x:row>
    <x:row r="29" ht="42" customHeight="1">
      <x:c r="A29" s="85" t="n">
        <x:f>ROW()-7</x:f>
        <x:v>22</x:v>
      </x:c>
      <x:c r="B29" s="86" t="n">
        <x:v>46297</x:v>
      </x:c>
      <x:c r="C29" s="86" t="n">
        <x:v>46304</x:v>
      </x:c>
      <x:c r="D29" s="87" t="n">
        <x:v>7</x:v>
      </x:c>
      <x:c r="E29" s="88" t="str">
        <x:v>南航</x:v>
      </x:c>
      <x:c r="F29" s="88" t="str">
        <x:v>07:15</x:v>
      </x:c>
      <x:c r="G29" s="88" t="str">
        <x:v>09:05</x:v>
      </x:c>
      <x:c r="H29" s="88" t="str">
        <x:v>重庆江北国际机场</x:v>
      </x:c>
      <x:c r="I29" s="88" t="str">
        <x:v>西双版纳嘎洒国际机场</x:v>
      </x:c>
      <x:c r="J29" s="88" t="n">
        <x:v>0</x:v>
      </x:c>
      <x:c r="K29" s="88" t="str">
        <x:v>—</x:v>
      </x:c>
      <x:c r="L29" s="88" t="str">
        <x:v>1 小时 50 分钟</x:v>
      </x:c>
      <x:c r="M29" s="89" t="n">
        <x:v>3220</x:v>
      </x:c>
      <x:c r="N29" s="89" t="n">
        <x:v>0</x:v>
      </x:c>
      <x:c r="O29" s="89" t="n">
        <x:f>M29+N29</x:f>
        <x:v>3220</x:v>
      </x:c>
      <x:c r="P29" s="88" t="str">
        <x:f>IF(O29&lt;5000,"是","否")</x:f>
        <x:v>是</x:v>
      </x:c>
      <x:c r="Q29" s="90" t="str">
        <x:v>国内经济舱通常含20kg；出票前须按实际票价等级复核</x:v>
      </x:c>
      <x:c r="R29" s="90" t="str">
        <x:v>该去程对应的最低可订返程组合；具体返程航班需打开来源链接确认</x:v>
      </x:c>
      <x:c r="S29" s="91" t="n">
        <x:v>46267.748189398146</x:v>
      </x:c>
      <x:c r="T29" s="92" t="str">
        <x:v>https://www.google.com/travel/flights?hl=zh-CN&amp;curr=CNY&amp;q=Flights%20from%20Chongqing%20to%20JHG%20from%202026-10-02%20to%202026-10-09</x:v>
      </x:c>
      <x:c r="U29" s="136" t="n">
        <x:v>46304</x:v>
      </x:c>
      <x:c r="V29" s="90" t="str">
        <x:v>09:50</x:v>
      </x:c>
      <x:c r="W29" s="90" t="str">
        <x:v>西双版纳嘎洒国际机场</x:v>
      </x:c>
      <x:c r="X29" s="137" t="n">
        <x:v>46304</x:v>
      </x:c>
      <x:c r="Y29" s="90" t="str">
        <x:v>11:50</x:v>
      </x:c>
      <x:c r="Z29" s="90" t="str">
        <x:v>重庆江北国际机场</x:v>
      </x:c>
      <x:c r="AA29" s="90" t="str">
        <x:v>南航</x:v>
      </x:c>
      <x:c r="AB29" s="90" t="n">
        <x:v>0</x:v>
      </x:c>
      <x:c r="AC29" s="90" t="str">
        <x:v>2 小时</x:v>
      </x:c>
      <x:c r="AD29" s="138" t="n">
        <x:v>3220</x:v>
      </x:c>
      <x:c r="AE29" s="90" t="str">
        <x:v>匹配原始往返起价</x:v>
      </x:c>
      <x:c r="AF29" s="92" t="str">
        <x:v>https://www.google.com/travel/flights/search?tfs=CBwQAhpGEgoyMDI2LTEwLTAyIiAKA0NLRxIKMjAyNi0xMC0wMhoDSkhHKgJDWjIEMjM3M2oNCAISCS9tLzAxNzIzNnIHCAESA0pIRxokEgoyMDI2LTEwLTA5agcIARIDSkhHcg0IAhIJL20vMDE3MjM2QAFIAXABggELCP___________wGYAQE&amp;tfu=CmxDalJJWkZWWlJYTm9WSE5zUkc5QlJVcHFZMmRDUnkwdExTMHRMWE50WW1aM09TMXVNVUZCUVVGQlIzRlpSSHAzVDNsTmFFMUJFZ1pEV2pJek56TWFDZ2lVR1JBQUdnTkRUbGs0SEhDbjlnST0SBggAIAIoASIDCgEw&amp;hl=zh-CN&amp;curr=CNY</x:v>
      </x:c>
    </x:row>
    <x:row r="30" ht="42" customHeight="1">
      <x:c r="A30" s="85" t="n">
        <x:f>ROW()-7</x:f>
        <x:v>23</x:v>
      </x:c>
      <x:c r="B30" s="86" t="n">
        <x:v>46298</x:v>
      </x:c>
      <x:c r="C30" s="86" t="n">
        <x:v>46302</x:v>
      </x:c>
      <x:c r="D30" s="87" t="n">
        <x:v>4</x:v>
      </x:c>
      <x:c r="E30" s="88" t="str">
        <x:v>南航</x:v>
      </x:c>
      <x:c r="F30" s="88" t="str">
        <x:v>06:30</x:v>
      </x:c>
      <x:c r="G30" s="88" t="str">
        <x:v>08:35</x:v>
      </x:c>
      <x:c r="H30" s="88" t="str">
        <x:v>重庆江北国际机场</x:v>
      </x:c>
      <x:c r="I30" s="88" t="str">
        <x:v>西双版纳嘎洒国际机场</x:v>
      </x:c>
      <x:c r="J30" s="88" t="n">
        <x:v>0</x:v>
      </x:c>
      <x:c r="K30" s="88" t="str">
        <x:v>—</x:v>
      </x:c>
      <x:c r="L30" s="88" t="str">
        <x:v>2 小时 5 分钟</x:v>
      </x:c>
      <x:c r="M30" s="89" t="n">
        <x:v>3220</x:v>
      </x:c>
      <x:c r="N30" s="89" t="n">
        <x:v>0</x:v>
      </x:c>
      <x:c r="O30" s="89" t="n">
        <x:f>M30+N30</x:f>
        <x:v>3220</x:v>
      </x:c>
      <x:c r="P30" s="88" t="str">
        <x:f>IF(O30&lt;5000,"是","否")</x:f>
        <x:v>是</x:v>
      </x:c>
      <x:c r="Q30" s="90" t="str">
        <x:v>国内经济舱通常含20kg；出票前须按实际票价等级复核</x:v>
      </x:c>
      <x:c r="R30" s="90" t="str">
        <x:v>该去程对应的最低可订返程组合；具体返程航班需打开来源链接确认</x:v>
      </x:c>
      <x:c r="S30" s="91" t="n">
        <x:v>46267.748189398146</x:v>
      </x:c>
      <x:c r="T30" s="92" t="str">
        <x:v>https://www.google.com/travel/flights?hl=zh-CN&amp;curr=CNY&amp;q=Flights%20from%20Chongqing%20to%20JHG%20from%202026-10-03%20to%202026-10-07</x:v>
      </x:c>
      <x:c r="U30" s="136" t="n">
        <x:v>46302</x:v>
      </x:c>
      <x:c r="V30" s="90" t="str">
        <x:v>09:50</x:v>
      </x:c>
      <x:c r="W30" s="90" t="str">
        <x:v>西双版纳嘎洒国际机场</x:v>
      </x:c>
      <x:c r="X30" s="137" t="n">
        <x:v>46302</x:v>
      </x:c>
      <x:c r="Y30" s="90" t="str">
        <x:v>11:50</x:v>
      </x:c>
      <x:c r="Z30" s="90" t="str">
        <x:v>重庆江北国际机场</x:v>
      </x:c>
      <x:c r="AA30" s="90" t="str">
        <x:v>南航</x:v>
      </x:c>
      <x:c r="AB30" s="90" t="n">
        <x:v>0</x:v>
      </x:c>
      <x:c r="AC30" s="90" t="str">
        <x:v>2 小时</x:v>
      </x:c>
      <x:c r="AD30" s="138" t="n">
        <x:v>3220</x:v>
      </x:c>
      <x:c r="AE30" s="90" t="str">
        <x:v>匹配原始往返起价</x:v>
      </x:c>
      <x:c r="AF30" s="92" t="str">
        <x:v>https://www.google.com/travel/flights/search?tfs=CBwQAhpGEgoyMDI2LTEwLTAzIiAKA0NLRxIKMjAyNi0xMC0wMxoDSkhHKgJDWjIEMjM3M2oNCAISCS9tLzAxNzIzNnIHCAESA0pIRxokEgoyMDI2LTEwLTA3agcIARIDSkhHcg0IAhIJL20vMDE3MjM2QAFIAXABggELCP___________wGYAQE&amp;tfu=CmxDalJJTFhrM016ZFNRVGg0ZUZGQlJYTTVhMUZDUnkwdExTMHRMUzF6WldKdU15MXVNa0ZCUVVGQlIzRlpSSG93UVdGaWFEQkJFZ1pEV2pJek56TWFDZ2lVR1JBQUdnTkRUbGs0SEhDbjlnST0SBggAIAIoASIDCgEw&amp;hl=zh-CN&amp;curr=CNY</x:v>
      </x:c>
    </x:row>
    <x:row r="31" ht="42" customHeight="1">
      <x:c r="A31" s="85" t="n">
        <x:f>ROW()-7</x:f>
        <x:v>24</x:v>
      </x:c>
      <x:c r="B31" s="86" t="n">
        <x:v>46298</x:v>
      </x:c>
      <x:c r="C31" s="86" t="n">
        <x:v>46303</x:v>
      </x:c>
      <x:c r="D31" s="87" t="n">
        <x:v>5</x:v>
      </x:c>
      <x:c r="E31" s="88" t="str">
        <x:v>南航</x:v>
      </x:c>
      <x:c r="F31" s="88" t="str">
        <x:v>06:30</x:v>
      </x:c>
      <x:c r="G31" s="88" t="str">
        <x:v>08:35</x:v>
      </x:c>
      <x:c r="H31" s="88" t="str">
        <x:v>重庆江北国际机场</x:v>
      </x:c>
      <x:c r="I31" s="88" t="str">
        <x:v>西双版纳嘎洒国际机场</x:v>
      </x:c>
      <x:c r="J31" s="88" t="n">
        <x:v>0</x:v>
      </x:c>
      <x:c r="K31" s="88" t="str">
        <x:v>—</x:v>
      </x:c>
      <x:c r="L31" s="88" t="str">
        <x:v>2 小时 5 分钟</x:v>
      </x:c>
      <x:c r="M31" s="89" t="n">
        <x:v>3220</x:v>
      </x:c>
      <x:c r="N31" s="89" t="n">
        <x:v>0</x:v>
      </x:c>
      <x:c r="O31" s="89" t="n">
        <x:f>M31+N31</x:f>
        <x:v>3220</x:v>
      </x:c>
      <x:c r="P31" s="88" t="str">
        <x:f>IF(O31&lt;5000,"是","否")</x:f>
        <x:v>是</x:v>
      </x:c>
      <x:c r="Q31" s="90" t="str">
        <x:v>国内经济舱通常含20kg；出票前须按实际票价等级复核</x:v>
      </x:c>
      <x:c r="R31" s="90" t="str">
        <x:v>该去程对应的最低可订返程组合；具体返程航班需打开来源链接确认</x:v>
      </x:c>
      <x:c r="S31" s="91" t="n">
        <x:v>46267.748189398146</x:v>
      </x:c>
      <x:c r="T31" s="92" t="str">
        <x:v>https://www.google.com/travel/flights?hl=zh-CN&amp;curr=CNY&amp;q=Flights%20from%20Chongqing%20to%20JHG%20from%202026-10-03%20to%202026-10-08</x:v>
      </x:c>
      <x:c r="U31" s="136" t="n">
        <x:v>46303</x:v>
      </x:c>
      <x:c r="V31" s="90" t="str">
        <x:v>09:20</x:v>
      </x:c>
      <x:c r="W31" s="90" t="str">
        <x:v>西双版纳嘎洒国际机场</x:v>
      </x:c>
      <x:c r="X31" s="137" t="n">
        <x:v>46303</x:v>
      </x:c>
      <x:c r="Y31" s="90" t="str">
        <x:v>11:25</x:v>
      </x:c>
      <x:c r="Z31" s="90" t="str">
        <x:v>重庆江北国际机场</x:v>
      </x:c>
      <x:c r="AA31" s="90" t="str">
        <x:v>南航</x:v>
      </x:c>
      <x:c r="AB31" s="90" t="n">
        <x:v>0</x:v>
      </x:c>
      <x:c r="AC31" s="90" t="str">
        <x:v>2 小时 5 分钟</x:v>
      </x:c>
      <x:c r="AD31" s="138" t="n">
        <x:v>3220</x:v>
      </x:c>
      <x:c r="AE31" s="90" t="str">
        <x:v>匹配原始往返起价</x:v>
      </x:c>
      <x:c r="AF31" s="92" t="str">
        <x:v>https://www.google.com/travel/flights/search?tfs=CBwQAhpGEgoyMDI2LTEwLTAzIiAKA0NLRxIKMjAyNi0xMC0wMxoDSkhHKgJDWjIEMjM3M2oNCAISCS9tLzAxNzIzNnIHCAESA0pIRxokEgoyMDI2LTEwLTA4agcIARIDSkhHcg0IAhIJL20vMDE3MjM2QAFIAXABggELCP___________wGYAQE&amp;tfu=CmxDalJJYzJVMFgxRk5PR1JrWVZsQlJEVjZibEZDUnkwdExTMHRMUzB0TFMxemJYUjVOa0ZCUVVGQlIzRlpSSG93UVhVeldUaEJFZ1pEV2pJek56TWFDZ2lVR1JBQUdnTkRUbGs0SEhDbjlnST0SBggAIAIoASIDCgEw&amp;hl=zh-CN&amp;curr=CNY</x:v>
      </x:c>
    </x:row>
    <x:row r="32" ht="42" customHeight="1">
      <x:c r="A32" s="85" t="n">
        <x:f>ROW()-7</x:f>
        <x:v>25</x:v>
      </x:c>
      <x:c r="B32" s="86" t="n">
        <x:v>46298</x:v>
      </x:c>
      <x:c r="C32" s="86" t="n">
        <x:v>46304</x:v>
      </x:c>
      <x:c r="D32" s="87" t="n">
        <x:v>6</x:v>
      </x:c>
      <x:c r="E32" s="88" t="str">
        <x:v>南航</x:v>
      </x:c>
      <x:c r="F32" s="88" t="str">
        <x:v>06:30</x:v>
      </x:c>
      <x:c r="G32" s="88" t="str">
        <x:v>08:35</x:v>
      </x:c>
      <x:c r="H32" s="88" t="str">
        <x:v>重庆江北国际机场</x:v>
      </x:c>
      <x:c r="I32" s="88" t="str">
        <x:v>西双版纳嘎洒国际机场</x:v>
      </x:c>
      <x:c r="J32" s="88" t="n">
        <x:v>0</x:v>
      </x:c>
      <x:c r="K32" s="88" t="str">
        <x:v>—</x:v>
      </x:c>
      <x:c r="L32" s="88" t="str">
        <x:v>2 小时 5 分钟</x:v>
      </x:c>
      <x:c r="M32" s="89" t="n">
        <x:v>3220</x:v>
      </x:c>
      <x:c r="N32" s="89" t="n">
        <x:v>0</x:v>
      </x:c>
      <x:c r="O32" s="89" t="n">
        <x:f>M32+N32</x:f>
        <x:v>3220</x:v>
      </x:c>
      <x:c r="P32" s="88" t="str">
        <x:f>IF(O32&lt;5000,"是","否")</x:f>
        <x:v>是</x:v>
      </x:c>
      <x:c r="Q32" s="90" t="str">
        <x:v>国内经济舱通常含20kg；出票前须按实际票价等级复核</x:v>
      </x:c>
      <x:c r="R32" s="90" t="str">
        <x:v>该去程对应的最低可订返程组合；具体返程航班需打开来源链接确认</x:v>
      </x:c>
      <x:c r="S32" s="91" t="n">
        <x:v>46267.748189398146</x:v>
      </x:c>
      <x:c r="T32" s="92" t="str">
        <x:v>https://www.google.com/travel/flights?hl=zh-CN&amp;curr=CNY&amp;q=Flights%20from%20Chongqing%20to%20JHG%20from%202026-10-03%20to%202026-10-09</x:v>
      </x:c>
      <x:c r="U32" s="136" t="n">
        <x:v>46304</x:v>
      </x:c>
      <x:c r="V32" s="90" t="str">
        <x:v>09:50</x:v>
      </x:c>
      <x:c r="W32" s="90" t="str">
        <x:v>西双版纳嘎洒国际机场</x:v>
      </x:c>
      <x:c r="X32" s="137" t="n">
        <x:v>46304</x:v>
      </x:c>
      <x:c r="Y32" s="90" t="str">
        <x:v>11:50</x:v>
      </x:c>
      <x:c r="Z32" s="90" t="str">
        <x:v>重庆江北国际机场</x:v>
      </x:c>
      <x:c r="AA32" s="90" t="str">
        <x:v>南航</x:v>
      </x:c>
      <x:c r="AB32" s="90" t="n">
        <x:v>0</x:v>
      </x:c>
      <x:c r="AC32" s="90" t="str">
        <x:v>2 小时</x:v>
      </x:c>
      <x:c r="AD32" s="138" t="n">
        <x:v>3220</x:v>
      </x:c>
      <x:c r="AE32" s="90" t="str">
        <x:v>匹配原始往返起价</x:v>
      </x:c>
      <x:c r="AF32" s="92" t="str">
        <x:v>https://www.google.com/travel/flights/search?tfs=CBwQAhpGEgoyMDI2LTEwLTAzIiAKA0NLRxIKMjAyNi0xMC0wMxoDSkhHKgJDWjIEMjM3M2oNCAISCS9tLzAxNzIzNnIHCAESA0pIRxokEgoyMDI2LTEwLTA5agcIARIDSkhHcg0IAhIJL20vMDE3MjM2QAFIAXABggELCP___________wGYAQE&amp;tfu=CmxDalJJV0Raek9XaExUWEpYVGtsQlJYRmFYMmRDUnkwdExTMHRMUzF6WlhSdE9DMXVNVUZCUVVGQlIzRlpSREJqUkc0eU0yZEJFZ1pEV2pJek56TWFDZ2lVR1JBQUdnTkRUbGs0SEhDbjlnST0SBggAIAIoASIDCgEw&amp;hl=zh-CN&amp;curr=CNY</x:v>
      </x:c>
    </x:row>
    <x:row r="33" ht="42" customHeight="1">
      <x:c r="A33" s="85" t="n">
        <x:f>ROW()-7</x:f>
        <x:v>26</x:v>
      </x:c>
      <x:c r="B33" s="86" t="n">
        <x:v>46299</x:v>
      </x:c>
      <x:c r="C33" s="86" t="n">
        <x:v>46304</x:v>
      </x:c>
      <x:c r="D33" s="87" t="n">
        <x:v>5</x:v>
      </x:c>
      <x:c r="E33" s="88" t="str">
        <x:v>南航</x:v>
      </x:c>
      <x:c r="F33" s="88" t="str">
        <x:v>07:15</x:v>
      </x:c>
      <x:c r="G33" s="88" t="str">
        <x:v>09:05</x:v>
      </x:c>
      <x:c r="H33" s="88" t="str">
        <x:v>重庆江北国际机场</x:v>
      </x:c>
      <x:c r="I33" s="88" t="str">
        <x:v>西双版纳嘎洒国际机场</x:v>
      </x:c>
      <x:c r="J33" s="88" t="n">
        <x:v>0</x:v>
      </x:c>
      <x:c r="K33" s="88" t="str">
        <x:v>—</x:v>
      </x:c>
      <x:c r="L33" s="88" t="str">
        <x:v>1 小时 50 分钟</x:v>
      </x:c>
      <x:c r="M33" s="89" t="n">
        <x:v>3220</x:v>
      </x:c>
      <x:c r="N33" s="89" t="n">
        <x:v>0</x:v>
      </x:c>
      <x:c r="O33" s="89" t="n">
        <x:f>M33+N33</x:f>
        <x:v>3220</x:v>
      </x:c>
      <x:c r="P33" s="88" t="str">
        <x:f>IF(O33&lt;5000,"是","否")</x:f>
        <x:v>是</x:v>
      </x:c>
      <x:c r="Q33" s="90" t="str">
        <x:v>国内经济舱通常含20kg；出票前须按实际票价等级复核</x:v>
      </x:c>
      <x:c r="R33" s="90" t="str">
        <x:v>该去程对应的最低可订返程组合；具体返程航班需打开来源链接确认</x:v>
      </x:c>
      <x:c r="S33" s="91" t="n">
        <x:v>46267.748189398146</x:v>
      </x:c>
      <x:c r="T33" s="92" t="str">
        <x:v>https://www.google.com/travel/flights?hl=zh-CN&amp;curr=CNY&amp;q=Flights%20from%20Chongqing%20to%20JHG%20from%202026-10-04%20to%202026-10-09</x:v>
      </x:c>
      <x:c r="U33" s="136" t="n">
        <x:v>46304</x:v>
      </x:c>
      <x:c r="V33" s="90" t="str">
        <x:v>09:50</x:v>
      </x:c>
      <x:c r="W33" s="90" t="str">
        <x:v>西双版纳嘎洒国际机场</x:v>
      </x:c>
      <x:c r="X33" s="137" t="n">
        <x:v>46304</x:v>
      </x:c>
      <x:c r="Y33" s="90" t="str">
        <x:v>11:50</x:v>
      </x:c>
      <x:c r="Z33" s="90" t="str">
        <x:v>重庆江北国际机场</x:v>
      </x:c>
      <x:c r="AA33" s="90" t="str">
        <x:v>南航</x:v>
      </x:c>
      <x:c r="AB33" s="90" t="n">
        <x:v>0</x:v>
      </x:c>
      <x:c r="AC33" s="90" t="str">
        <x:v>2 小时</x:v>
      </x:c>
      <x:c r="AD33" s="138" t="n">
        <x:v>3220</x:v>
      </x:c>
      <x:c r="AE33" s="90" t="str">
        <x:v>匹配原始往返起价</x:v>
      </x:c>
      <x:c r="AF33" s="92" t="str">
        <x:v>https://www.google.com/travel/flights/search?tfs=CBwQAhpGEgoyMDI2LTEwLTA0IiAKA0NLRxIKMjAyNi0xMC0wNBoDSkhHKgJDWjIEMjM3M2oNCAISCS9tLzAxNzIzNnIHCAESA0pIRxokEgoyMDI2LTEwLTA5agcIARIDSkhHcg0IAhIJL20vMDE3MjM2QAFIAXABggELCP___________wGYAQE&amp;tfu=CmxDalJJT1hWcVIzUnVRa3BOUjAxQlJVWlJlSGRDUnkwdExTMHRMWE50ZEhneE5pMXVNa0ZCUVVGQlIzRlpSVWN3UnpZM1QzRkJFZ1pEV2pJek56TWFDZ2lVR1JBQUdnTkRUbGs0SEhDbjlnST0SBggAIAIoASIDCgEw&amp;hl=zh-CN&amp;curr=CNY</x:v>
      </x:c>
    </x:row>
    <x:row r="34" ht="42" customHeight="1">
      <x:c r="A34" s="85" t="n">
        <x:f>ROW()-7</x:f>
        <x:v>27</x:v>
      </x:c>
      <x:c r="B34" s="86" t="n">
        <x:v>46300</x:v>
      </x:c>
      <x:c r="C34" s="86" t="n">
        <x:v>46304</x:v>
      </x:c>
      <x:c r="D34" s="87" t="n">
        <x:v>4</x:v>
      </x:c>
      <x:c r="E34" s="88" t="str">
        <x:v>南航</x:v>
      </x:c>
      <x:c r="F34" s="88" t="str">
        <x:v>07:15</x:v>
      </x:c>
      <x:c r="G34" s="88" t="str">
        <x:v>09:05</x:v>
      </x:c>
      <x:c r="H34" s="88" t="str">
        <x:v>重庆江北国际机场</x:v>
      </x:c>
      <x:c r="I34" s="88" t="str">
        <x:v>西双版纳嘎洒国际机场</x:v>
      </x:c>
      <x:c r="J34" s="88" t="n">
        <x:v>0</x:v>
      </x:c>
      <x:c r="K34" s="88" t="str">
        <x:v>—</x:v>
      </x:c>
      <x:c r="L34" s="88" t="str">
        <x:v>1 小时 50 分钟</x:v>
      </x:c>
      <x:c r="M34" s="89" t="n">
        <x:v>3220</x:v>
      </x:c>
      <x:c r="N34" s="89" t="n">
        <x:v>0</x:v>
      </x:c>
      <x:c r="O34" s="89" t="n">
        <x:f>M34+N34</x:f>
        <x:v>3220</x:v>
      </x:c>
      <x:c r="P34" s="88" t="str">
        <x:f>IF(O34&lt;5000,"是","否")</x:f>
        <x:v>是</x:v>
      </x:c>
      <x:c r="Q34" s="90" t="str">
        <x:v>国内经济舱通常含20kg；出票前须按实际票价等级复核</x:v>
      </x:c>
      <x:c r="R34" s="90" t="str">
        <x:v>该去程对应的最低可订返程组合；具体返程航班需打开来源链接确认</x:v>
      </x:c>
      <x:c r="S34" s="91" t="n">
        <x:v>46267.748189398146</x:v>
      </x:c>
      <x:c r="T34" s="92" t="str">
        <x:v>https://www.google.com/travel/flights?hl=zh-CN&amp;curr=CNY&amp;q=Flights%20from%20Chongqing%20to%20JHG%20from%202026-10-05%20to%202026-10-09</x:v>
      </x:c>
      <x:c r="U34" s="136" t="n">
        <x:v>46304</x:v>
      </x:c>
      <x:c r="V34" s="90" t="str">
        <x:v>09:50</x:v>
      </x:c>
      <x:c r="W34" s="90" t="str">
        <x:v>西双版纳嘎洒国际机场</x:v>
      </x:c>
      <x:c r="X34" s="137" t="n">
        <x:v>46304</x:v>
      </x:c>
      <x:c r="Y34" s="90" t="str">
        <x:v>11:50</x:v>
      </x:c>
      <x:c r="Z34" s="90" t="str">
        <x:v>重庆江北国际机场</x:v>
      </x:c>
      <x:c r="AA34" s="90" t="str">
        <x:v>南航</x:v>
      </x:c>
      <x:c r="AB34" s="90" t="n">
        <x:v>0</x:v>
      </x:c>
      <x:c r="AC34" s="90" t="str">
        <x:v>2 小时</x:v>
      </x:c>
      <x:c r="AD34" s="138" t="n">
        <x:v>3220</x:v>
      </x:c>
      <x:c r="AE34" s="90" t="str">
        <x:v>匹配原始往返起价</x:v>
      </x:c>
      <x:c r="AF34" s="92" t="str">
        <x:v>https://www.google.com/travel/flights/search?tfs=CBwQAhpGEgoyMDI2LTEwLTA1IiAKA0NLRxIKMjAyNi0xMC0wNRoDSkhHKgJDWjIEMjM3M2oNCAISCS9tLzAxNzIzNnIHCAESA0pIRxokEgoyMDI2LTEwLTA5agcIARIDSkhHcg0IAhIJL20vMDE3MjM2QAFIAXABggELCP___________wGYAQE&amp;tfu=CmxDalJJZEU5VWJEQndRbVpTWVhkQlIyZzJjVkZDUnkwdExTMHRMUzB0YzJWaVozSXpNMEZCUVVGQlIzRlpSREJqUXpRNGFrVkJFZ1pEV2pJek56TWFDZ2lVR1JBQUdnTkRUbGs0SEhDbjlnST0SBggAIAIoASIDCgEw&amp;hl=zh-CN&amp;curr=CNY</x:v>
      </x:c>
    </x:row>
    <x:row r="35" ht="42" customHeight="1">
      <x:c r="A35" s="93" t="n">
        <x:f>ROW()-7</x:f>
        <x:v>28</x:v>
      </x:c>
      <x:c r="B35" s="94" t="n">
        <x:v>46297</x:v>
      </x:c>
      <x:c r="C35" s="94" t="n">
        <x:v>46302</x:v>
      </x:c>
      <x:c r="D35" s="95" t="n">
        <x:v>5</x:v>
      </x:c>
      <x:c r="E35" s="96" t="str">
        <x:v>川航</x:v>
      </x:c>
      <x:c r="F35" s="96" t="str">
        <x:v>11:45</x:v>
      </x:c>
      <x:c r="G35" s="96" t="str">
        <x:v>13:35</x:v>
      </x:c>
      <x:c r="H35" s="96" t="str">
        <x:v>重庆江北国际机场</x:v>
      </x:c>
      <x:c r="I35" s="96" t="str">
        <x:v>西双版纳嘎洒国际机场</x:v>
      </x:c>
      <x:c r="J35" s="96" t="n">
        <x:v>0</x:v>
      </x:c>
      <x:c r="K35" s="96" t="str">
        <x:v>—</x:v>
      </x:c>
      <x:c r="L35" s="96" t="str">
        <x:v>1 小时 50 分钟</x:v>
      </x:c>
      <x:c r="M35" s="97" t="n">
        <x:v>3347</x:v>
      </x:c>
      <x:c r="N35" s="97" t="n">
        <x:v>0</x:v>
      </x:c>
      <x:c r="O35" s="97" t="n">
        <x:f>M35+N35</x:f>
        <x:v>3347</x:v>
      </x:c>
      <x:c r="P35" s="96" t="str">
        <x:f>IF(O35&lt;5000,"是","否")</x:f>
        <x:v>是</x:v>
      </x:c>
      <x:c r="Q35" s="98" t="str">
        <x:v>国内经济舱通常含20kg；出票前须按实际票价等级复核</x:v>
      </x:c>
      <x:c r="R35" s="98" t="str">
        <x:v>该去程对应的最低可订返程组合；具体返程航班需打开来源链接确认</x:v>
      </x:c>
      <x:c r="S35" s="99" t="n">
        <x:v>46267.748189398146</x:v>
      </x:c>
      <x:c r="T35" s="100" t="str">
        <x:v>https://www.google.com/travel/flights?hl=zh-CN&amp;curr=CNY&amp;q=Flights%20from%20Chongqing%20to%20JHG%20from%202026-10-02%20to%202026-10-07</x:v>
      </x:c>
      <x:c r="U35" s="139" t="n">
        <x:v>46302</x:v>
      </x:c>
      <x:c r="V35" s="98" t="str">
        <x:v>10:55</x:v>
      </x:c>
      <x:c r="W35" s="98" t="str">
        <x:v>西双版纳嘎洒国际机场</x:v>
      </x:c>
      <x:c r="X35" s="140" t="n">
        <x:v>46302</x:v>
      </x:c>
      <x:c r="Y35" s="98" t="str">
        <x:v>14:15</x:v>
      </x:c>
      <x:c r="Z35" s="98" t="str">
        <x:v>重庆江北国际机场</x:v>
      </x:c>
      <x:c r="AA35" s="98" t="str">
        <x:v>华夏航空</x:v>
      </x:c>
      <x:c r="AB35" s="98" t="n">
        <x:v>1</x:v>
      </x:c>
      <x:c r="AC35" s="98" t="str">
        <x:v>3 小时 20 分钟</x:v>
      </x:c>
      <x:c r="AD35" s="141"/>
      <x:c r="AE35" s="98" t="str">
        <x:v>当前返程列表无价格，采用排序第一条</x:v>
      </x:c>
      <x:c r="AF35" s="100" t="str">
        <x:v>https://www.google.com/travel/flights/search?tfs=CBwQAhpGEgoyMDI2LTEwLTAyIiAKA0NLRxIKMjAyNi0xMC0wMhoDSkhHKgIzVTIEMzU1MWoNCAISCS9tLzAxNzIzNnIHCAESA0pIRxokEgoyMDI2LTEwLTA3agcIARIDSkhHcg0IAhIJL20vMDE3MjM2QAFIAXABggELCP___________wGYAQE&amp;tfu=ClhDalJJTlU5V1JHUmlTbE5GWkVsQlEyWnpaWGRDUnkwdExTMHRMUzB0YzJWaVluRXlOa0ZCUVVGQlIzRlpSREJqUkhaUVExRkJFZ1l6VlRNMU5URTRIQT09EgYIACACKAEiAA&amp;hl=zh-CN&amp;curr=CNY</x:v>
      </x:c>
    </x:row>
  </x:sheetData>
  <x:mergeCells>
    <x:mergeCell ref="A1:AF1"/>
    <x:mergeCell ref="A2:AF2"/>
    <x:mergeCell ref="A4:AF4"/>
    <x:mergeCell ref="A5:AF5"/>
  </x:mergeCells>
  <x:conditionalFormatting sqref="O8:O35">
    <x:cfRule type="cellIs" dxfId="4" priority="1" operator="lessThanOrEqual">
      <x:formula>3500</x:formula>
    </x:cfRule>
    <x:cfRule type="cellIs" dxfId="5" priority="2" operator="greaterThanOrEqual">
      <x:formula>4500</x:formula>
    </x:cfRule>
  </x:conditionalFormatting>
  <x:conditionalFormatting sqref="AE8:AE35">
    <x:cfRule type="containsText" dxfId="18" priority="3" operator="containsText" text="匹配原始"/>
    <x:cfRule type="containsText" dxfId="19" priority="4" operator="containsText" text="价格已变化"/>
    <x:cfRule type="containsText" dxfId="20" priority="5" operator="containsText" text="无价格"/>
    <x:cfRule type="containsText" dxfId="21" priority="6" operator="containsText" text="待核验"/>
    <x:cfRule type="containsText" dxfId="2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c578738c281747a7"/>
    <x:tablePart xmlns:r="http://schemas.openxmlformats.org/officeDocument/2006/relationships" r:id="R798b8634532e4d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西双版纳（JHG）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13/14</x:v>
      </x:c>
      <x:c r="F3" s="68"/>
      <x:c r="G3" s="68" t="str">
        <x:v>最低含行李价</x:v>
      </x:c>
      <x:c r="H3" s="69" t="n">
        <x:f>MIN(O8:O17)</x:f>
        <x:v>1401</x:v>
      </x:c>
      <x:c r="I3" s="68"/>
      <x:c r="J3" s="68" t="str">
        <x:v>最高合格价</x:v>
      </x:c>
      <x:c r="K3" s="69" t="n">
        <x:f>MAX(O8:O17)</x:f>
        <x:v>2269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46298</x:v>
      </x:c>
      <x:c r="C8" s="78" t="n">
        <x:v>46303</x:v>
      </x:c>
      <x:c r="D8" s="79" t="n">
        <x:v>5</x:v>
      </x:c>
      <x:c r="E8" s="80" t="str">
        <x:v>华夏航空</x:v>
      </x:c>
      <x:c r="F8" s="80" t="str">
        <x:v>06:40</x:v>
      </x:c>
      <x:c r="G8" s="80" t="str">
        <x:v>09:00</x:v>
      </x:c>
      <x:c r="H8" s="80" t="str">
        <x:v>重庆江北国际机场</x:v>
      </x:c>
      <x:c r="I8" s="80" t="str">
        <x:v>西双版纳嘎洒国际机场</x:v>
      </x:c>
      <x:c r="J8" s="80" t="n">
        <x:v>0</x:v>
      </x:c>
      <x:c r="K8" s="80" t="str">
        <x:v>—</x:v>
      </x:c>
      <x:c r="L8" s="80" t="str">
        <x:v>2 小时 20 分钟</x:v>
      </x:c>
      <x:c r="M8" s="81" t="n">
        <x:v>1401</x:v>
      </x:c>
      <x:c r="N8" s="81" t="n">
        <x:v>0</x:v>
      </x:c>
      <x:c r="O8" s="81" t="n">
        <x:f>M8+N8</x:f>
        <x:v>1401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46267.748189398146</x:v>
      </x:c>
      <x:c r="T8" s="84" t="str">
        <x:v>https://www.google.com/travel/flights?hl=zh-CN&amp;curr=CNY&amp;q=Flights%20from%20Chongqing%20to%20JHG%20from%202026-10-03%20to%202026-10-08</x:v>
      </x:c>
      <x:c r="U8" s="133" t="n">
        <x:v>46303</x:v>
      </x:c>
      <x:c r="V8" s="82" t="str">
        <x:v>10:25</x:v>
      </x:c>
      <x:c r="W8" s="82" t="str">
        <x:v>西双版纳嘎洒国际机场</x:v>
      </x:c>
      <x:c r="X8" s="134" t="n">
        <x:v>46303</x:v>
      </x:c>
      <x:c r="Y8" s="82" t="str">
        <x:v>12:35</x:v>
      </x:c>
      <x:c r="Z8" s="82" t="str">
        <x:v>重庆江北国际机场</x:v>
      </x:c>
      <x:c r="AA8" s="82" t="str">
        <x:v>华夏航空</x:v>
      </x:c>
      <x:c r="AB8" s="82" t="n">
        <x:v>0</x:v>
      </x:c>
      <x:c r="AC8" s="82" t="str">
        <x:v>2 小时 10 分钟</x:v>
      </x:c>
      <x:c r="AD8" s="135"/>
      <x:c r="AE8" s="82" t="str">
        <x:v>当前返程列表无价格，采用排序第一条</x:v>
      </x:c>
      <x:c r="AF8" s="84" t="str">
        <x:v>https://www.google.com/travel/flights/search?tfs=CBwQAhpGEgoyMDI2LTEwLTAzIiAKA0NLRxIKMjAyNi0xMC0wMxoDSkhHKgJHNTIEMjY4OWoNCAISCS9tLzAxNzIzNnIHCAESA0pIRxokEgoyMDI2LTEwLTA4agcIARIDSkhHcg0IAhIJL20vMDE3MjM2QAFIAXABggELCP___________wGYAQE&amp;tfu=ClhDalJJV25VMlpHdHJNMVpPY1ZsQlJVSXRlWGRDUnkwdExTMHRMUzF6YlhWa015MXVNa0ZCUVVGQlIzRlpSSGR6UzBod2JHTkJFZ1pITlRJMk9EazRIUT09EgIIACIDCgEw&amp;hl=zh-CN&amp;curr=CNY</x:v>
      </x:c>
    </x:row>
    <x:row r="9" ht="42" customHeight="1">
      <x:c r="A9" s="85" t="n">
        <x:f>ROW()-7</x:f>
        <x:v>2</x:v>
      </x:c>
      <x:c r="B9" s="86" t="n">
        <x:v>46298</x:v>
      </x:c>
      <x:c r="C9" s="86" t="n">
        <x:v>46303</x:v>
      </x:c>
      <x:c r="D9" s="87" t="n">
        <x:v>5</x:v>
      </x:c>
      <x:c r="E9" s="88" t="str">
        <x:v>华夏航空</x:v>
      </x:c>
      <x:c r="F9" s="88" t="str">
        <x:v>06:45</x:v>
      </x:c>
      <x:c r="G9" s="88" t="str">
        <x:v>09:55</x:v>
      </x:c>
      <x:c r="H9" s="88" t="str">
        <x:v>重庆江北国际机场</x:v>
      </x:c>
      <x:c r="I9" s="88" t="str">
        <x:v>西双版纳嘎洒国际机场</x:v>
      </x:c>
      <x:c r="J9" s="88" t="n">
        <x:v>1</x:v>
      </x:c>
      <x:c r="K9" s="88" t="str">
        <x:v>昭通市的昭通机场 / 40 分钟</x:v>
      </x:c>
      <x:c r="L9" s="88" t="str">
        <x:v>3 小时 10 分钟</x:v>
      </x:c>
      <x:c r="M9" s="89" t="n">
        <x:v>1431</x:v>
      </x:c>
      <x:c r="N9" s="89" t="n">
        <x:v>0</x:v>
      </x:c>
      <x:c r="O9" s="89" t="n">
        <x:f>M9+N9</x:f>
        <x:v>1431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46267.748189398146</x:v>
      </x:c>
      <x:c r="T9" s="92" t="str">
        <x:v>https://www.google.com/travel/flights?hl=zh-CN&amp;curr=CNY&amp;q=Flights%20from%20Chongqing%20to%20JHG%20from%202026-10-03%20to%202026-10-08</x:v>
      </x:c>
      <x:c r="U9" s="136"/>
      <x:c r="V9" s="90"/>
      <x:c r="W9" s="90"/>
      <x:c r="X9" s="137"/>
      <x:c r="Y9" s="90"/>
      <x:c r="Z9" s="90"/>
      <x:c r="AA9" s="90"/>
      <x:c r="AB9" s="90"/>
      <x:c r="AC9" s="90"/>
      <x:c r="AD9" s="138"/>
      <x:c r="AE9" s="90" t="str">
        <x:v>去程当前未找到，返程待核验</x:v>
      </x:c>
      <x:c r="AF9" s="92" t="str">
        <x:v>https://www.google.com/travel/flights?hl=zh-CN&amp;curr=CNY&amp;q=Flights%20from%20Chongqing%20to%20JHG%20from%202026-10-03%20to%202026-10-08</x:v>
      </x:c>
    </x:row>
    <x:row r="10" ht="42" customHeight="1">
      <x:c r="A10" s="85" t="n">
        <x:f>ROW()-7</x:f>
        <x:v>3</x:v>
      </x:c>
      <x:c r="B10" s="86" t="n">
        <x:v>46300</x:v>
      </x:c>
      <x:c r="C10" s="86" t="n">
        <x:v>46304</x:v>
      </x:c>
      <x:c r="D10" s="87" t="n">
        <x:v>4</x:v>
      </x:c>
      <x:c r="E10" s="88" t="str">
        <x:v>川航</x:v>
      </x:c>
      <x:c r="F10" s="88" t="str">
        <x:v>11:45</x:v>
      </x:c>
      <x:c r="G10" s="88" t="str">
        <x:v>13:35</x:v>
      </x:c>
      <x:c r="H10" s="88" t="str">
        <x:v>重庆江北国际机场</x:v>
      </x:c>
      <x:c r="I10" s="88" t="str">
        <x:v>西双版纳嘎洒国际机场</x:v>
      </x:c>
      <x:c r="J10" s="88" t="n">
        <x:v>0</x:v>
      </x:c>
      <x:c r="K10" s="88" t="str">
        <x:v>—</x:v>
      </x:c>
      <x:c r="L10" s="88" t="str">
        <x:v>1 小时 50 分钟</x:v>
      </x:c>
      <x:c r="M10" s="89" t="n">
        <x:v>1604</x:v>
      </x:c>
      <x:c r="N10" s="89" t="n">
        <x:v>0</x:v>
      </x:c>
      <x:c r="O10" s="89" t="n">
        <x:f>M10+N10</x:f>
        <x:v>1604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46267.748189398146</x:v>
      </x:c>
      <x:c r="T10" s="92" t="str">
        <x:v>https://www.google.com/travel/flights?hl=zh-CN&amp;curr=CNY&amp;q=Flights%20from%20Chongqing%20to%20JHG%20from%202026-10-05%20to%202026-10-09</x:v>
      </x:c>
      <x:c r="U10" s="136" t="n">
        <x:v>46304</x:v>
      </x:c>
      <x:c r="V10" s="90" t="str">
        <x:v>10:55</x:v>
      </x:c>
      <x:c r="W10" s="90" t="str">
        <x:v>西双版纳嘎洒国际机场</x:v>
      </x:c>
      <x:c r="X10" s="137" t="n">
        <x:v>46304</x:v>
      </x:c>
      <x:c r="Y10" s="90" t="str">
        <x:v>14:15</x:v>
      </x:c>
      <x:c r="Z10" s="90" t="str">
        <x:v>重庆江北国际机场</x:v>
      </x:c>
      <x:c r="AA10" s="90" t="str">
        <x:v>华夏航空</x:v>
      </x:c>
      <x:c r="AB10" s="90" t="n">
        <x:v>1</x:v>
      </x:c>
      <x:c r="AC10" s="90" t="str">
        <x:v>3 小时 20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GEgoyMDI2LTEwLTA1IiAKA0NLRxIKMjAyNi0xMC0wNRoDSkhHKgIzVTIEMzU1MWoNCAISCS9tLzAxNzIzNnIHCAESA0pIRxokEgoyMDI2LTEwLTA5agcIARIDSkhHcg0IAhIJL20vMDE3MjM2QAFIAXABggELCP___________wGYAQE&amp;tfu=ClhDalJJV0Raek9XaExUWEpYVGtsQlJYRkdhV2RDUnkwdExTMHRMUzF6WlhSdE9DMXVNVUZCUVVGQlIzRlpSSGQzU0ZKRFRsRkJFZ1l6VlRNMU5URTRIQT09EgYIACACKAEiAA&amp;hl=zh-CN&amp;curr=CNY</x:v>
      </x:c>
    </x:row>
    <x:row r="11" ht="42" customHeight="1">
      <x:c r="A11" s="85" t="n">
        <x:f>ROW()-7</x:f>
        <x:v>4</x:v>
      </x:c>
      <x:c r="B11" s="86" t="n">
        <x:v>46299</x:v>
      </x:c>
      <x:c r="C11" s="86" t="n">
        <x:v>46303</x:v>
      </x:c>
      <x:c r="D11" s="87" t="n">
        <x:v>4</x:v>
      </x:c>
      <x:c r="E11" s="88" t="str">
        <x:v>川航</x:v>
      </x:c>
      <x:c r="F11" s="88" t="str">
        <x:v>11:45</x:v>
      </x:c>
      <x:c r="G11" s="88" t="str">
        <x:v>13:35</x:v>
      </x:c>
      <x:c r="H11" s="88" t="str">
        <x:v>重庆江北国际机场</x:v>
      </x:c>
      <x:c r="I11" s="88" t="str">
        <x:v>西双版纳嘎洒国际机场</x:v>
      </x:c>
      <x:c r="J11" s="88" t="n">
        <x:v>0</x:v>
      </x:c>
      <x:c r="K11" s="88" t="str">
        <x:v>—</x:v>
      </x:c>
      <x:c r="L11" s="88" t="str">
        <x:v>1 小时 50 分钟</x:v>
      </x:c>
      <x:c r="M11" s="89" t="n">
        <x:v>1636</x:v>
      </x:c>
      <x:c r="N11" s="89" t="n">
        <x:v>0</x:v>
      </x:c>
      <x:c r="O11" s="89" t="n">
        <x:f>M11+N11</x:f>
        <x:v>1636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46267.748189398146</x:v>
      </x:c>
      <x:c r="T11" s="92" t="str">
        <x:v>https://www.google.com/travel/flights?hl=zh-CN&amp;curr=CNY&amp;q=Flights%20from%20Chongqing%20to%20JHG%20from%202026-10-04%20to%202026-10-08</x:v>
      </x:c>
      <x:c r="U11" s="136" t="n">
        <x:v>46303</x:v>
      </x:c>
      <x:c r="V11" s="90" t="str">
        <x:v>10:45</x:v>
      </x:c>
      <x:c r="W11" s="90" t="str">
        <x:v>西双版纳嘎洒国际机场</x:v>
      </x:c>
      <x:c r="X11" s="137" t="n">
        <x:v>46303</x:v>
      </x:c>
      <x:c r="Y11" s="90" t="str">
        <x:v>13:50</x:v>
      </x:c>
      <x:c r="Z11" s="90" t="str">
        <x:v>重庆江北国际机场</x:v>
      </x:c>
      <x:c r="AA11" s="90" t="str">
        <x:v>华夏航空</x:v>
      </x:c>
      <x:c r="AB11" s="90" t="n">
        <x:v>1</x:v>
      </x:c>
      <x:c r="AC11" s="90" t="str">
        <x:v>3 小时 5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GEgoyMDI2LTEwLTA0IiAKA0NLRxIKMjAyNi0xMC0wNBoDSkhHKgIzVTIEMzU1MWoNCAISCS9tLzAxNzIzNnIHCAESA0pIRxokEgoyMDI2LTEwLTA4agcIARIDSkhHcg0IAhIJL20vMDE3MjM2QAFIAXABggELCP___________wGYAQE&amp;tfu=ClhDalJJV25VMlpHdHJNMVpPY1ZsQlJVUXhXbmRDUnkwdExTMHRMUzF6YlhWa015MXVNa0ZCUVVGQlIzRlpSVVpuU2toRGQybEJFZ1l6VlRNMU5URTRIQT09EgYIACACKAEiAA&amp;hl=zh-CN&amp;curr=CNY</x:v>
      </x:c>
    </x:row>
    <x:row r="12" ht="42" customHeight="1">
      <x:c r="A12" s="85" t="n">
        <x:f>ROW()-7</x:f>
        <x:v>5</x:v>
      </x:c>
      <x:c r="B12" s="86" t="n">
        <x:v>46298</x:v>
      </x:c>
      <x:c r="C12" s="86" t="n">
        <x:v>46304</x:v>
      </x:c>
      <x:c r="D12" s="87" t="n">
        <x:v>6</x:v>
      </x:c>
      <x:c r="E12" s="88" t="str">
        <x:v>川航</x:v>
      </x:c>
      <x:c r="F12" s="88" t="str">
        <x:v>11:45</x:v>
      </x:c>
      <x:c r="G12" s="88" t="str">
        <x:v>13:35</x:v>
      </x:c>
      <x:c r="H12" s="88" t="str">
        <x:v>重庆江北国际机场</x:v>
      </x:c>
      <x:c r="I12" s="88" t="str">
        <x:v>西双版纳嘎洒国际机场</x:v>
      </x:c>
      <x:c r="J12" s="88" t="n">
        <x:v>0</x:v>
      </x:c>
      <x:c r="K12" s="88" t="str">
        <x:v>—</x:v>
      </x:c>
      <x:c r="L12" s="88" t="str">
        <x:v>1 小时 50 分钟</x:v>
      </x:c>
      <x:c r="M12" s="89" t="n">
        <x:v>1773</x:v>
      </x:c>
      <x:c r="N12" s="89" t="n">
        <x:v>0</x:v>
      </x:c>
      <x:c r="O12" s="89" t="n">
        <x:f>M12+N12</x:f>
        <x:v>1773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46267.748189398146</x:v>
      </x:c>
      <x:c r="T12" s="92" t="str">
        <x:v>https://www.google.com/travel/flights?hl=zh-CN&amp;curr=CNY&amp;q=Flights%20from%20Chongqing%20to%20JHG%20from%202026-10-03%20to%202026-10-09</x:v>
      </x:c>
      <x:c r="U12" s="136" t="n">
        <x:v>46304</x:v>
      </x:c>
      <x:c r="V12" s="90" t="str">
        <x:v>10:55</x:v>
      </x:c>
      <x:c r="W12" s="90" t="str">
        <x:v>西双版纳嘎洒国际机场</x:v>
      </x:c>
      <x:c r="X12" s="137" t="n">
        <x:v>46304</x:v>
      </x:c>
      <x:c r="Y12" s="90" t="str">
        <x:v>14:15</x:v>
      </x:c>
      <x:c r="Z12" s="90" t="str">
        <x:v>重庆江北国际机场</x:v>
      </x:c>
      <x:c r="AA12" s="90" t="str">
        <x:v>华夏航空</x:v>
      </x:c>
      <x:c r="AB12" s="90" t="n">
        <x:v>1</x:v>
      </x:c>
      <x:c r="AC12" s="90" t="str">
        <x:v>3 小时 20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GEgoyMDI2LTEwLTAzIiAKA0NLRxIKMjAyNi0xMC0wMxoDSkhHKgIzVTIEMzU1MWoNCAISCS9tLzAxNzIzNnIHCAESA0pIRxokEgoyMDI2LTEwLTA5agcIARIDSkhHcg0IAhIJL20vMDE3MjM2QAFIAXABggELCP___________wGYAQE&amp;tfu=ClhDalJJVTFCd2FUaFNTbWhxVTBsQlJXTlFhMmRDUnkwdExTMHRMUzB0YzIxck1TMXVNVUZCUVVGQlIzRlpSVVpqUzJaYU5rOUJFZ1l6VlRNMU5URTRIQT09EgIIACI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46303</x:v>
      </x:c>
      <x:c r="D13" s="87" t="n">
        <x:v>5</x:v>
      </x:c>
      <x:c r="E13" s="88" t="str">
        <x:v>深航</x:v>
      </x:c>
      <x:c r="F13" s="88" t="str">
        <x:v>06:45</x:v>
      </x:c>
      <x:c r="G13" s="88" t="str">
        <x:v>09:55</x:v>
      </x:c>
      <x:c r="H13" s="88" t="str">
        <x:v>重庆江北国际机场</x:v>
      </x:c>
      <x:c r="I13" s="88" t="str">
        <x:v>西双版纳嘎洒国际机场</x:v>
      </x:c>
      <x:c r="J13" s="88" t="n">
        <x:v>0</x:v>
      </x:c>
      <x:c r="K13" s="88" t="str">
        <x:v>—</x:v>
      </x:c>
      <x:c r="L13" s="88" t="str">
        <x:v>3 小时 10 分钟</x:v>
      </x:c>
      <x:c r="M13" s="89" t="n">
        <x:v>1857</x:v>
      </x:c>
      <x:c r="N13" s="89" t="n">
        <x:v>0</x:v>
      </x:c>
      <x:c r="O13" s="89" t="n">
        <x:f>M13+N13</x:f>
        <x:v>1857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46267.748189398146</x:v>
      </x:c>
      <x:c r="T13" s="92" t="str">
        <x:v>https://www.google.com/travel/flights?hl=zh-CN&amp;curr=CNY&amp;q=Flights%20from%20Chongqing%20to%20JHG%20from%202026-10-03%20to%202026-10-08</x:v>
      </x:c>
      <x:c r="U13" s="136"/>
      <x:c r="V13" s="90"/>
      <x:c r="W13" s="90"/>
      <x:c r="X13" s="137"/>
      <x:c r="Y13" s="90"/>
      <x:c r="Z13" s="90"/>
      <x:c r="AA13" s="90"/>
      <x:c r="AB13" s="90"/>
      <x:c r="AC13" s="90"/>
      <x:c r="AD13" s="138"/>
      <x:c r="AE13" s="90" t="str">
        <x:v>去程当前未找到，返程待核验</x:v>
      </x:c>
      <x:c r="AF13" s="92" t="str">
        <x:v>https://www.google.com/travel/flights?hl=zh-CN&amp;curr=CNY&amp;q=Flights%20from%20Chongqing%20to%20JHG%20from%202026-10-03%20to%202026-10-08</x:v>
      </x:c>
    </x:row>
    <x:row r="14" ht="42" customHeight="1">
      <x:c r="A14" s="85" t="n">
        <x:f>ROW()-7</x:f>
        <x:v>7</x:v>
      </x:c>
      <x:c r="B14" s="86" t="n">
        <x:v>46297</x:v>
      </x:c>
      <x:c r="C14" s="86" t="n">
        <x:v>46304</x:v>
      </x:c>
      <x:c r="D14" s="87" t="n">
        <x:v>7</x:v>
      </x:c>
      <x:c r="E14" s="88" t="str">
        <x:v>华夏航空</x:v>
      </x:c>
      <x:c r="F14" s="88" t="str">
        <x:v>07:00</x:v>
      </x:c>
      <x:c r="G14" s="88" t="str">
        <x:v>10:10</x:v>
      </x:c>
      <x:c r="H14" s="88" t="str">
        <x:v>重庆江北国际机场</x:v>
      </x:c>
      <x:c r="I14" s="88" t="str">
        <x:v>西双版纳嘎洒国际机场</x:v>
      </x:c>
      <x:c r="J14" s="88" t="n">
        <x:v>1</x:v>
      </x:c>
      <x:c r="K14" s="88" t="str">
        <x:v>昭通市的昭通机场 / 45 分钟</x:v>
      </x:c>
      <x:c r="L14" s="88" t="str">
        <x:v>3 小时 10 分钟</x:v>
      </x:c>
      <x:c r="M14" s="89" t="n">
        <x:v>1863</x:v>
      </x:c>
      <x:c r="N14" s="89" t="n">
        <x:v>0</x:v>
      </x:c>
      <x:c r="O14" s="89" t="n">
        <x:f>M14+N14</x:f>
        <x:v>1863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46267.748189398146</x:v>
      </x:c>
      <x:c r="T14" s="92" t="str">
        <x:v>https://www.google.com/travel/flights?hl=zh-CN&amp;curr=CNY&amp;q=Flights%20from%20Chongqing%20to%20JHG%20from%202026-10-02%20to%202026-10-09</x:v>
      </x:c>
      <x:c r="U14" s="136"/>
      <x:c r="V14" s="90"/>
      <x:c r="W14" s="90"/>
      <x:c r="X14" s="137"/>
      <x:c r="Y14" s="90"/>
      <x:c r="Z14" s="90"/>
      <x:c r="AA14" s="90"/>
      <x:c r="AB14" s="90"/>
      <x:c r="AC14" s="90"/>
      <x:c r="AD14" s="138"/>
      <x:c r="AE14" s="90" t="str">
        <x:v>去程当前未找到，返程待核验</x:v>
      </x:c>
      <x:c r="AF14" s="92" t="str">
        <x:v>https://www.google.com/travel/flights?hl=zh-CN&amp;curr=CNY&amp;q=Flights%20from%20Chongqing%20to%20JHG%20from%202026-10-02%20to%202026-10-09</x:v>
      </x:c>
    </x:row>
    <x:row r="15" ht="42" customHeight="1">
      <x:c r="A15" s="85" t="n">
        <x:f>ROW()-7</x:f>
        <x:v>8</x:v>
      </x:c>
      <x:c r="B15" s="86" t="n">
        <x:v>46297</x:v>
      </x:c>
      <x:c r="C15" s="86" t="n">
        <x:v>46304</x:v>
      </x:c>
      <x:c r="D15" s="87" t="n">
        <x:v>7</x:v>
      </x:c>
      <x:c r="E15" s="88" t="str">
        <x:v>川航</x:v>
      </x:c>
      <x:c r="F15" s="88" t="str">
        <x:v>11:45</x:v>
      </x:c>
      <x:c r="G15" s="88" t="str">
        <x:v>13:35</x:v>
      </x:c>
      <x:c r="H15" s="88" t="str">
        <x:v>重庆江北国际机场</x:v>
      </x:c>
      <x:c r="I15" s="88" t="str">
        <x:v>西双版纳嘎洒国际机场</x:v>
      </x:c>
      <x:c r="J15" s="88" t="n">
        <x:v>0</x:v>
      </x:c>
      <x:c r="K15" s="88" t="str">
        <x:v>—</x:v>
      </x:c>
      <x:c r="L15" s="88" t="str">
        <x:v>1 小时 50 分钟</x:v>
      </x:c>
      <x:c r="M15" s="89" t="n">
        <x:v>1926</x:v>
      </x:c>
      <x:c r="N15" s="89" t="n">
        <x:v>0</x:v>
      </x:c>
      <x:c r="O15" s="89" t="n">
        <x:f>M15+N15</x:f>
        <x:v>1926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46267.748189398146</x:v>
      </x:c>
      <x:c r="T15" s="92" t="str">
        <x:v>https://www.google.com/travel/flights?hl=zh-CN&amp;curr=CNY&amp;q=Flights%20from%20Chongqing%20to%20JHG%20from%202026-10-02%20to%202026-10-09</x:v>
      </x:c>
      <x:c r="U15" s="136" t="n">
        <x:v>46304</x:v>
      </x:c>
      <x:c r="V15" s="90" t="str">
        <x:v>10:55</x:v>
      </x:c>
      <x:c r="W15" s="90" t="str">
        <x:v>西双版纳嘎洒国际机场</x:v>
      </x:c>
      <x:c r="X15" s="137" t="n">
        <x:v>46304</x:v>
      </x:c>
      <x:c r="Y15" s="90" t="str">
        <x:v>14:15</x:v>
      </x:c>
      <x:c r="Z15" s="90" t="str">
        <x:v>重庆江北国际机场</x:v>
      </x:c>
      <x:c r="AA15" s="90" t="str">
        <x:v>华夏航空</x:v>
      </x:c>
      <x:c r="AB15" s="90" t="n">
        <x:v>1</x:v>
      </x:c>
      <x:c r="AC15" s="90" t="str">
        <x:v>3 小时 20 分钟</x:v>
      </x:c>
      <x:c r="AD15" s="138"/>
      <x:c r="AE15" s="90" t="str">
        <x:v>当前返程列表无价格，采用排序第一条</x:v>
      </x:c>
      <x:c r="AF15" s="92" t="str">
        <x:v>https://www.google.com/travel/flights/search?tfs=CBwQAhpGEgoyMDI2LTEwLTAyIiAKA0NLRxIKMjAyNi0xMC0wMhoDSkhHKgIzVTIEMzU1MWoNCAISCS9tLzAxNzIzNnIHCAESA0pIRxokEgoyMDI2LTEwLTA5agcIARIDSkhHcg0IAhIJL20vMDE3MjM2QAFIAXABggELCP___________wGYAQE&amp;tfu=ClhDalJJTlU5V1JHUmlTbE5GWkVsQlEyWmlhVUZDUnkwdExTMHRMUzB0YzJWaVluRXlOa0ZCUVVGQlIzRlpSSGhaUkhsRU5HVkJFZ1l6VlRNMU5URTRIQT09EgYIACACKAEiAA&amp;hl=zh-CN&amp;curr=CNY</x:v>
      </x:c>
    </x:row>
    <x:row r="16" ht="42" customHeight="1">
      <x:c r="A16" s="85" t="n">
        <x:f>ROW()-7</x:f>
        <x:v>9</x:v>
      </x:c>
      <x:c r="B16" s="86" t="n">
        <x:v>46298</x:v>
      </x:c>
      <x:c r="C16" s="86" t="n">
        <x:v>46303</x:v>
      </x:c>
      <x:c r="D16" s="87" t="n">
        <x:v>5</x:v>
      </x:c>
      <x:c r="E16" s="88" t="str">
        <x:v>川航</x:v>
      </x:c>
      <x:c r="F16" s="88" t="str">
        <x:v>11:45</x:v>
      </x:c>
      <x:c r="G16" s="88" t="str">
        <x:v>13:35</x:v>
      </x:c>
      <x:c r="H16" s="88" t="str">
        <x:v>重庆江北国际机场</x:v>
      </x:c>
      <x:c r="I16" s="88" t="str">
        <x:v>西双版纳嘎洒国际机场</x:v>
      </x:c>
      <x:c r="J16" s="88" t="n">
        <x:v>0</x:v>
      </x:c>
      <x:c r="K16" s="88" t="str">
        <x:v>—</x:v>
      </x:c>
      <x:c r="L16" s="88" t="str">
        <x:v>1 小时 50 分钟</x:v>
      </x:c>
      <x:c r="M16" s="89" t="n">
        <x:v>2123</x:v>
      </x:c>
      <x:c r="N16" s="89" t="n">
        <x:v>0</x:v>
      </x:c>
      <x:c r="O16" s="89" t="n">
        <x:f>M16+N16</x:f>
        <x:v>2123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46267.748189398146</x:v>
      </x:c>
      <x:c r="T16" s="92" t="str">
        <x:v>https://www.google.com/travel/flights?hl=zh-CN&amp;curr=CNY&amp;q=Flights%20from%20Chongqing%20to%20JHG%20from%202026-10-03%20to%202026-10-08</x:v>
      </x:c>
      <x:c r="U16" s="136" t="n">
        <x:v>46303</x:v>
      </x:c>
      <x:c r="V16" s="90" t="str">
        <x:v>10:45</x:v>
      </x:c>
      <x:c r="W16" s="90" t="str">
        <x:v>西双版纳嘎洒国际机场</x:v>
      </x:c>
      <x:c r="X16" s="137" t="n">
        <x:v>46303</x:v>
      </x:c>
      <x:c r="Y16" s="90" t="str">
        <x:v>13:50</x:v>
      </x:c>
      <x:c r="Z16" s="90" t="str">
        <x:v>重庆江北国际机场</x:v>
      </x:c>
      <x:c r="AA16" s="90" t="str">
        <x:v>华夏航空</x:v>
      </x:c>
      <x:c r="AB16" s="90" t="n">
        <x:v>1</x:v>
      </x:c>
      <x:c r="AC16" s="90" t="str">
        <x:v>3 小时 5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GEgoyMDI2LTEwLTAzIiAKA0NLRxIKMjAyNi0xMC0wMxoDSkhHKgIzVTIEMzU1MWoNCAISCS9tLzAxNzIzNnIHCAESA0pIRxokEgoyMDI2LTEwLTA4agcIARIDSkhHcg0IAhIJL20vMDE3MjM2QAFIAXABggELCP___________wGYAQE&amp;tfu=ClhDalJJTjI1cVh5MTFabXBWVjI5QlJYQkVSV2RDUnkwdExTMHRMWE5sZEc0eU5pMXVNVUZCUVVGQlIzRlpSSGc0U1dvNU9HdEJFZ1l6VlRNMU5URTRIQT09EgYIACACKAEiAA&amp;hl=zh-CN&amp;curr=CNY</x:v>
      </x:c>
    </x:row>
    <x:row r="17" ht="42" customHeight="1">
      <x:c r="A17" s="93" t="n">
        <x:f>ROW()-7</x:f>
        <x:v>10</x:v>
      </x:c>
      <x:c r="B17" s="94" t="n">
        <x:v>46298</x:v>
      </x:c>
      <x:c r="C17" s="94" t="n">
        <x:v>46303</x:v>
      </x:c>
      <x:c r="D17" s="95" t="n">
        <x:v>5</x:v>
      </x:c>
      <x:c r="E17" s="96" t="str">
        <x:v>中国西部航空</x:v>
      </x:c>
      <x:c r="F17" s="96" t="str">
        <x:v>18:40</x:v>
      </x:c>
      <x:c r="G17" s="96" t="str">
        <x:v>20:40</x:v>
      </x:c>
      <x:c r="H17" s="96" t="str">
        <x:v>重庆江北国际机场</x:v>
      </x:c>
      <x:c r="I17" s="96" t="str">
        <x:v>西双版纳嘎洒国际机场</x:v>
      </x:c>
      <x:c r="J17" s="96" t="n">
        <x:v>0</x:v>
      </x:c>
      <x:c r="K17" s="96" t="str">
        <x:v>—</x:v>
      </x:c>
      <x:c r="L17" s="96" t="str">
        <x:v>2 小时</x:v>
      </x:c>
      <x:c r="M17" s="97" t="n">
        <x:v>1469</x:v>
      </x:c>
      <x:c r="N17" s="97" t="n">
        <x:v>800</x:v>
      </x:c>
      <x:c r="O17" s="97" t="n">
        <x:f>M17+N17</x:f>
        <x:v>2269</x:v>
      </x:c>
      <x:c r="P17" s="96" t="str">
        <x:f>IF(O17&lt;5000,"是","否")</x:f>
        <x:v>是</x:v>
      </x:c>
      <x:c r="Q17" s="98" t="str">
        <x:v>差异化行李票价等级未知；按每程20kg最多¥400、往返保守预留¥800</x:v>
      </x:c>
      <x:c r="R17" s="98" t="str">
        <x:v>该去程对应的最低可订返程组合；具体返程航班需打开来源链接确认</x:v>
      </x:c>
      <x:c r="S17" s="99" t="n">
        <x:v>46267.748189398146</x:v>
      </x:c>
      <x:c r="T17" s="100" t="str">
        <x:v>https://www.google.com/travel/flights?hl=zh-CN&amp;curr=CNY&amp;q=Flights%20from%20Chongqing%20to%20JHG%20from%202026-10-03%20to%202026-10-08</x:v>
      </x:c>
      <x:c r="U17" s="139" t="n">
        <x:v>46303</x:v>
      </x:c>
      <x:c r="V17" s="98" t="str">
        <x:v>21:25</x:v>
      </x:c>
      <x:c r="W17" s="98" t="str">
        <x:v>西双版纳嘎洒国际机场</x:v>
      </x:c>
      <x:c r="X17" s="140" t="n">
        <x:v>46303</x:v>
      </x:c>
      <x:c r="Y17" s="98" t="str">
        <x:v>23:25</x:v>
      </x:c>
      <x:c r="Z17" s="98" t="str">
        <x:v>重庆江北国际机场</x:v>
      </x:c>
      <x:c r="AA17" s="98" t="str">
        <x:v>中国西部航空</x:v>
      </x:c>
      <x:c r="AB17" s="98" t="n">
        <x:v>0</x:v>
      </x:c>
      <x:c r="AC17" s="98" t="str">
        <x:v>2 小时</x:v>
      </x:c>
      <x:c r="AD17" s="141"/>
      <x:c r="AE17" s="98" t="str">
        <x:v>当前返程列表无价格，采用排序第一条</x:v>
      </x:c>
      <x:c r="AF17" s="100" t="str">
        <x:v>https://www.google.com/travel/flights/search?tfs=CBwQAhpGEgoyMDI2LTEwLTAzIiAKA0NLRxIKMjAyNi0xMC0wMxoDSkhHKgJQTjIENjQwM2oNCAISCS9tLzAxNzIzNnIHCAESA0pIRxokEgoyMDI2LTEwLTA4agcIARIDSkhHcg0IAhIJL20vMDE3MjM2QAFIAXABggELCP___________wGYAQE&amp;tfu=ClhDalJJV0Raek9XaExUWEpYVGtsQlJYRk9SSGRDUnkwdExTMHRMUzF6WlhSdE9DMXVNVUZCUVVGQlIzRlpSSGc0UjNKUVoxbEJFZ1pRVGpZME1ETTRIUT09EgIIACIDCgEw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6" priority="1" operator="lessThanOrEqual">
      <x:formula>3500</x:formula>
    </x:cfRule>
    <x:cfRule type="cellIs" dxfId="7" priority="2" operator="greaterThanOrEqual">
      <x:formula>4500</x:formula>
    </x:cfRule>
  </x:conditionalFormatting>
  <x:conditionalFormatting sqref="AE8:AE17">
    <x:cfRule type="containsText" dxfId="23" priority="3" operator="containsText" text="匹配原始"/>
    <x:cfRule type="containsText" dxfId="24" priority="4" operator="containsText" text="价格已变化"/>
    <x:cfRule type="containsText" dxfId="25" priority="5" operator="containsText" text="无价格"/>
    <x:cfRule type="containsText" dxfId="26" priority="6" operator="containsText" text="待核验"/>
    <x:cfRule type="containsText" dxfId="2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823cd80eb44e448f"/>
    <x:tablePart xmlns:r="http://schemas.openxmlformats.org/officeDocument/2006/relationships" r:id="R05cba2b0e2b64b63"/>
  </x:tableParts>
</x:worksheet>
</file>