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276e1885ac45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上海全集" sheetId="1" r:id="R365463a169184777"/>
    <x:sheet xmlns:r="http://schemas.openxmlformats.org/officeDocument/2006/relationships" name="上海TOP10" sheetId="2" r:id="Re7d08620c39e45bf"/>
    <x:sheet xmlns:r="http://schemas.openxmlformats.org/officeDocument/2006/relationships" name="重庆全集" sheetId="3" r:id="Rec1e3d0b024e4eed"/>
    <x:sheet xmlns:r="http://schemas.openxmlformats.org/officeDocument/2006/relationships" name="重庆TOP10" sheetId="4" r:id="R376e6b9d409c47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¥#,##0"/>
    <x:numFmt numFmtId="201" formatCode="yyyy-mm-dd hh:mm"/>
    <x:numFmt numFmtId="202" formatCode="yyyy-mm-dd"/>
  </x:numFmts>
  <x:fonts count="1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042"/>
      <x:name val="Carlito"/>
    </x:font>
    <x:font>
      <x:b/>
      <x:sz val="11"/>
      <x:color rgb="FF173042"/>
      <x:name val="Carlito"/>
    </x:font>
    <x:font>
      <x:sz val="11"/>
      <x:color rgb="FF6B4E00"/>
      <x:name val="Carlito"/>
    </x:font>
    <x:font>
      <x:sz val="9"/>
      <x:color rgb="FF475569"/>
      <x:name val="Carlito"/>
    </x:font>
    <x:font>
      <x:b/>
      <x:sz val="11"/>
      <x:color rgb="FFFFFFFF"/>
      <x:name val="Carlito"/>
    </x:font>
    <x:font>
      <x:b/>
      <x:sz val="16"/>
      <x:color rgb="FFFFFFFF"/>
      <x:name val="Noto Sans CJK SC"/>
    </x:font>
    <x:font>
      <x:i/>
      <x:sz val="11"/>
      <x:color rgb="FF173042"/>
      <x:name val="Noto Sans CJK SC"/>
    </x:font>
    <x:font>
      <x:b/>
      <x:sz val="11"/>
      <x:color rgb="FF173042"/>
      <x:name val="Noto Sans CJK SC"/>
    </x:font>
    <x:font>
      <x:sz val="11"/>
      <x:name val="Noto Sans CJK SC"/>
    </x:font>
    <x:font>
      <x:sz val="11"/>
      <x:color rgb="FF6B4E00"/>
      <x:name val="Noto Sans CJK SC"/>
    </x:font>
    <x:font>
      <x:sz val="9"/>
      <x:color rgb="FF475569"/>
      <x:name val="Noto Sans CJK SC"/>
    </x:font>
    <x:font>
      <x:b/>
      <x:sz val="11"/>
      <x:color rgb="FFFFFFFF"/>
      <x:name val="Noto Sans CJK SC"/>
    </x:font>
  </x:fonts>
  <x:fills count="13">
    <x:fill>
      <x:patternFill patternType="none"/>
    </x:fill>
    <x:fill>
      <x:patternFill patternType="gray125"/>
    </x:fill>
    <x:fill>
      <x:patternFill patternType="solid">
        <x:fgColor rgb="FF123B46"/>
      </x:patternFill>
    </x:fill>
    <x:fill>
      <x:patternFill patternType="solid">
        <x:fgColor rgb="FFDDF4EF"/>
      </x:patternFill>
    </x:fill>
    <x:fill>
      <x:patternFill patternType="solid">
        <x:fgColor rgb="FFF4F8F7"/>
      </x:patternFill>
    </x:fill>
    <x:fill>
      <x:patternFill patternType="solid">
        <x:fgColor rgb="FFFFF7D6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123B46"/>
      </x:patternFill>
    </x:fill>
    <x:fill>
      <x:patternFill patternType="solid">
        <x:fgColor rgb="FFDDF4EF"/>
      </x:patternFill>
    </x:fill>
    <x:fill>
      <x:patternFill patternType="solid">
        <x:fgColor rgb="FFFFF7D6"/>
      </x:patternFill>
    </x:fill>
    <x:fill>
      <x:patternFill patternType="solid">
        <x:fgColor rgb="FFF8FAFC"/>
      </x:patternFill>
    </x:fill>
    <x:fill>
      <x:patternFill patternType="solid">
        <x:fgColor rgb="FF155E75"/>
      </x:patternFill>
    </x:fill>
  </x:fills>
  <x:borders count="16">
    <x:border/>
    <x:border>
      <x:left style="thin">
        <x:color rgb="FF0A5E58"/>
      </x:left>
      <x:top style="thin">
        <x:color rgb="FF0A5E58"/>
      </x:top>
      <x:bottom style="thin">
        <x:color rgb="FF0A5E58"/>
      </x:bottom>
    </x:border>
    <x:border>
      <x:top style="thin">
        <x:color rgb="FF0A5E58"/>
      </x:top>
      <x:bottom style="thin">
        <x:color rgb="FF0A5E58"/>
      </x:bottom>
    </x:border>
    <x:border>
      <x:right style="thin">
        <x:color rgb="FF0A5E58"/>
      </x:right>
      <x:top style="thin">
        <x:color rgb="FF0A5E58"/>
      </x:top>
      <x:bottom style="thin">
        <x:color rgb="FF0A5E58"/>
      </x:bottom>
    </x:border>
    <x:border>
      <x:right style="thin">
        <x:color rgb="FFD7E3E0"/>
      </x:right>
      <x:bottom style="thin">
        <x:color rgb="FFD7E3E0"/>
      </x:bottom>
    </x:border>
    <x:border>
      <x:left style="thin">
        <x:color rgb="FFD7E3E0"/>
      </x:left>
      <x:right style="thin">
        <x:color rgb="FFD7E3E0"/>
      </x:right>
      <x:bottom style="thin">
        <x:color rgb="FFD7E3E0"/>
      </x:bottom>
    </x:border>
    <x:border>
      <x:left style="thin">
        <x:color rgb="FFD7E3E0"/>
      </x:left>
      <x:bottom style="thin">
        <x:color rgb="FFD7E3E0"/>
      </x:bottom>
    </x:border>
    <x:border>
      <x:right style="thin">
        <x:color rgb="FFD7E3E0"/>
      </x:right>
      <x:top style="thin">
        <x:color rgb="FFD7E3E0"/>
      </x:top>
      <x:bottom style="thin">
        <x:color rgb="FFD7E3E0"/>
      </x:bottom>
    </x:border>
    <x:border>
      <x:left style="thin">
        <x:color rgb="FFD7E3E0"/>
      </x:left>
      <x:right style="thin">
        <x:color rgb="FFD7E3E0"/>
      </x:right>
      <x:top style="thin">
        <x:color rgb="FFD7E3E0"/>
      </x:top>
      <x:bottom style="thin">
        <x:color rgb="FFD7E3E0"/>
      </x:bottom>
    </x:border>
    <x:border>
      <x:left style="thin">
        <x:color rgb="FFD7E3E0"/>
      </x:left>
      <x:top style="thin">
        <x:color rgb="FFD7E3E0"/>
      </x:top>
      <x:bottom style="thin">
        <x:color rgb="FFD7E3E0"/>
      </x:bottom>
    </x:border>
    <x:border>
      <x:right style="thin">
        <x:color rgb="FFD7E3E0"/>
      </x:right>
      <x:top style="thin">
        <x:color rgb="FFD7E3E0"/>
      </x:top>
    </x:border>
    <x:border>
      <x:left style="thin">
        <x:color rgb="FFD7E3E0"/>
      </x:left>
      <x:right style="thin">
        <x:color rgb="FFD7E3E0"/>
      </x:right>
      <x:top style="thin">
        <x:color rgb="FFD7E3E0"/>
      </x:top>
    </x:border>
    <x:border>
      <x:left style="thin">
        <x:color rgb="FFD7E3E0"/>
      </x:left>
      <x:top style="thin">
        <x:color rgb="FFD7E3E0"/>
      </x:top>
    </x:border>
    <x:border>
      <x:left style="thin">
        <x:color rgb="FF0E4B5E"/>
      </x:left>
      <x:top style="thin">
        <x:color rgb="FF0E4B5E"/>
      </x:top>
      <x:bottom style="thin">
        <x:color rgb="FF0E4B5E"/>
      </x:bottom>
    </x:border>
    <x:border>
      <x:top style="thin">
        <x:color rgb="FF0E4B5E"/>
      </x:top>
      <x:bottom style="thin">
        <x:color rgb="FF0E4B5E"/>
      </x:bottom>
    </x:border>
    <x:border>
      <x:right style="thin">
        <x:color rgb="FF0E4B5E"/>
      </x:right>
      <x:top style="thin">
        <x:color rgb="FF0E4B5E"/>
      </x:top>
      <x:bottom style="thin">
        <x:color rgb="FF0E4B5E"/>
      </x:bottom>
    </x:border>
  </x:borders>
  <x:cellStyleXfs count="1">
    <x:xf numFmtId="0" fontId="0" fillId="0" borderId="0"/>
  </x:cellStyleXfs>
  <x:cellXfs count="1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201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2" xfId="0" applyNumberFormat="1" applyFont="1" applyFill="1" applyBorder="1"/>
    <x:xf numFmtId="0" fontId="6" fillId="7" borderId="3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2" xfId="0" applyNumberFormat="1" applyFont="1" applyFill="1" applyBorder="1" applyAlignment="1">
      <x:alignment wrapText="1"/>
    </x:xf>
    <x:xf numFmtId="0" fontId="6" fillId="7" borderId="3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horizontal="center" wrapText="1"/>
    </x:xf>
    <x:xf numFmtId="0" fontId="6" fillId="7" borderId="2" xfId="0" applyNumberFormat="1" applyFont="1" applyFill="1" applyBorder="1" applyAlignment="1">
      <x:alignment horizontal="center" wrapText="1"/>
    </x:xf>
    <x:xf numFmtId="0" fontId="6" fillId="7" borderId="3" xfId="0" applyNumberFormat="1" applyFont="1" applyFill="1" applyBorder="1" applyAlignment="1">
      <x:alignment horizont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6" fillId="7" borderId="2" xfId="0" applyNumberFormat="1" applyFont="1" applyFill="1" applyBorder="1" applyAlignment="1">
      <x:alignment horizontal="center" vertical="center" wrapText="1"/>
    </x:xf>
    <x:xf numFmtId="0" fontId="6" fillId="7" borderId="3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4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wrapText="1"/>
    </x:xf>
    <x:xf numFmtId="201" fontId="0" fillId="0" borderId="5" xfId="0" applyNumberFormat="1" applyFont="1" applyFill="1" applyBorder="1"/>
    <x:xf numFmtId="0" fontId="0" fillId="0" borderId="6" xfId="0" applyNumberFormat="1" applyFont="1" applyFill="1" applyBorder="1" applyAlignment="1">
      <x:alignment wrapText="0"/>
    </x:xf>
    <x:xf numFmtId="0" fontId="0" fillId="0" borderId="7" xfId="0" applyNumberFormat="1" applyFont="1" applyFill="1" applyBorder="1" applyAlignment="1">
      <x:alignment vertical="center"/>
    </x:xf>
    <x:xf numFmtId="202" fontId="0" fillId="0" borderId="8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/>
    <x:xf numFmtId="0" fontId="0" fillId="0" borderId="9" xfId="0" applyNumberFormat="1" applyFont="1" applyFill="1" applyBorder="1" applyAlignment="1">
      <x:alignment wrapText="0"/>
    </x:xf>
    <x:xf numFmtId="0" fontId="0" fillId="0" borderId="10" xfId="0" applyNumberFormat="1" applyFont="1" applyFill="1" applyBorder="1" applyAlignment="1">
      <x:alignment vertical="center"/>
    </x:xf>
    <x:xf numFmtId="202" fontId="0" fillId="0" borderId="11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 wrapText="1"/>
    </x:xf>
    <x:xf numFmtId="200" fontId="0" fillId="0" borderId="11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wrapText="1"/>
    </x:xf>
    <x:xf numFmtId="201" fontId="0" fillId="0" borderId="11" xfId="0" applyNumberFormat="1" applyFont="1" applyFill="1" applyBorder="1"/>
    <x:xf numFmtId="0" fontId="0" fillId="0" borderId="12" xfId="0" applyNumberFormat="1" applyFont="1" applyFill="1" applyBorder="1" applyAlignment="1">
      <x:alignment wrapText="0"/>
    </x:xf>
    <x:xf numFmtId="0" fontId="7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center"/>
    </x:xf>
    <x:xf numFmtId="200" fontId="9" fillId="4" borderId="0" xfId="0" applyNumberFormat="1" applyFont="1" applyFill="1" applyBorder="1" applyAlignment="1">
      <x:alignment vertical="center"/>
    </x:xf>
    <x:xf numFmtId="201" fontId="9" fillId="4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1" fillId="5" borderId="0" xfId="0" applyNumberFormat="1" applyFont="1" applyFill="1" applyBorder="1" applyAlignment="1">
      <x:alignment wrapText="1"/>
    </x:xf>
    <x:xf numFmtId="0" fontId="12" fillId="6" borderId="0" xfId="0" applyNumberFormat="1" applyFont="1" applyFill="1" applyBorder="1" applyAlignment="1">
      <x:alignment wrapText="1"/>
    </x:xf>
    <x:xf numFmtId="0" fontId="13" fillId="7" borderId="1" xfId="0" applyNumberFormat="1" applyFont="1" applyFill="1" applyBorder="1" applyAlignment="1">
      <x:alignment horizontal="center" vertical="center" wrapText="1"/>
    </x:xf>
    <x:xf numFmtId="0" fontId="13" fillId="7" borderId="2" xfId="0" applyNumberFormat="1" applyFont="1" applyFill="1" applyBorder="1" applyAlignment="1">
      <x:alignment horizontal="center" vertical="center" wrapText="1"/>
    </x:xf>
    <x:xf numFmtId="0" fontId="13" fillId="7" borderId="3" xfId="0" applyNumberFormat="1" applyFont="1" applyFill="1" applyBorder="1" applyAlignment="1">
      <x:alignment horizontal="center" vertical="center" wrapText="1"/>
    </x:xf>
    <x:xf numFmtId="0" fontId="10" fillId="0" borderId="4" xfId="0" applyNumberFormat="1" applyFont="1" applyFill="1" applyBorder="1" applyAlignment="1">
      <x:alignment vertical="center"/>
    </x:xf>
    <x:xf numFmtId="202" fontId="10" fillId="0" borderId="5" xfId="0" applyNumberFormat="1" applyFont="1" applyFill="1" applyBorder="1" applyAlignment="1">
      <x:alignment vertical="center"/>
    </x:xf>
    <x:xf numFmtId="0" fontId="10" fillId="0" borderId="5" xfId="0" applyNumberFormat="1" applyFont="1" applyFill="1" applyBorder="1" applyAlignment="1">
      <x:alignment vertical="center"/>
    </x:xf>
    <x:xf numFmtId="0" fontId="10" fillId="0" borderId="5" xfId="0" applyNumberFormat="1" applyFont="1" applyFill="1" applyBorder="1" applyAlignment="1">
      <x:alignment vertical="center" wrapText="1"/>
    </x:xf>
    <x:xf numFmtId="200" fontId="10" fillId="0" borderId="5" xfId="0" applyNumberFormat="1" applyFont="1" applyFill="1" applyBorder="1" applyAlignment="1">
      <x:alignment vertical="center" wrapText="1"/>
    </x:xf>
    <x:xf numFmtId="0" fontId="10" fillId="0" borderId="5" xfId="0" applyNumberFormat="1" applyFont="1" applyFill="1" applyBorder="1" applyAlignment="1">
      <x:alignment wrapText="1"/>
    </x:xf>
    <x:xf numFmtId="201" fontId="10" fillId="0" borderId="5" xfId="0" applyNumberFormat="1" applyFont="1" applyFill="1" applyBorder="1"/>
    <x:xf numFmtId="0" fontId="10" fillId="0" borderId="6" xfId="0" applyNumberFormat="1" applyFont="1" applyFill="1" applyBorder="1" applyAlignment="1">
      <x:alignment wrapText="0"/>
    </x:xf>
    <x:xf numFmtId="0" fontId="10" fillId="0" borderId="7" xfId="0" applyNumberFormat="1" applyFont="1" applyFill="1" applyBorder="1" applyAlignment="1">
      <x:alignment vertical="center"/>
    </x:xf>
    <x:xf numFmtId="202" fontId="10" fillId="0" borderId="8" xfId="0" applyNumberFormat="1" applyFont="1" applyFill="1" applyBorder="1" applyAlignment="1">
      <x:alignment vertical="center"/>
    </x:xf>
    <x:xf numFmtId="0" fontId="10" fillId="0" borderId="8" xfId="0" applyNumberFormat="1" applyFont="1" applyFill="1" applyBorder="1" applyAlignment="1">
      <x:alignment vertical="center"/>
    </x:xf>
    <x:xf numFmtId="0" fontId="10" fillId="0" borderId="8" xfId="0" applyNumberFormat="1" applyFont="1" applyFill="1" applyBorder="1" applyAlignment="1">
      <x:alignment vertical="center" wrapText="1"/>
    </x:xf>
    <x:xf numFmtId="200" fontId="10" fillId="0" borderId="8" xfId="0" applyNumberFormat="1" applyFont="1" applyFill="1" applyBorder="1" applyAlignment="1">
      <x:alignment vertical="center" wrapText="1"/>
    </x:xf>
    <x:xf numFmtId="0" fontId="10" fillId="0" borderId="8" xfId="0" applyNumberFormat="1" applyFont="1" applyFill="1" applyBorder="1" applyAlignment="1">
      <x:alignment wrapText="1"/>
    </x:xf>
    <x:xf numFmtId="201" fontId="10" fillId="0" borderId="8" xfId="0" applyNumberFormat="1" applyFont="1" applyFill="1" applyBorder="1"/>
    <x:xf numFmtId="0" fontId="10" fillId="0" borderId="9" xfId="0" applyNumberFormat="1" applyFont="1" applyFill="1" applyBorder="1" applyAlignment="1">
      <x:alignment wrapText="0"/>
    </x:xf>
    <x:xf numFmtId="0" fontId="10" fillId="0" borderId="10" xfId="0" applyNumberFormat="1" applyFont="1" applyFill="1" applyBorder="1" applyAlignment="1">
      <x:alignment vertical="center"/>
    </x:xf>
    <x:xf numFmtId="202" fontId="10" fillId="0" borderId="11" xfId="0" applyNumberFormat="1" applyFont="1" applyFill="1" applyBorder="1" applyAlignment="1">
      <x:alignment vertical="center"/>
    </x:xf>
    <x:xf numFmtId="0" fontId="10" fillId="0" borderId="11" xfId="0" applyNumberFormat="1" applyFont="1" applyFill="1" applyBorder="1" applyAlignment="1">
      <x:alignment vertical="center"/>
    </x:xf>
    <x:xf numFmtId="0" fontId="10" fillId="0" borderId="11" xfId="0" applyNumberFormat="1" applyFont="1" applyFill="1" applyBorder="1" applyAlignment="1">
      <x:alignment vertical="center" wrapText="1"/>
    </x:xf>
    <x:xf numFmtId="200" fontId="10" fillId="0" borderId="11" xfId="0" applyNumberFormat="1" applyFont="1" applyFill="1" applyBorder="1" applyAlignment="1">
      <x:alignment vertical="center" wrapText="1"/>
    </x:xf>
    <x:xf numFmtId="0" fontId="10" fillId="0" borderId="11" xfId="0" applyNumberFormat="1" applyFont="1" applyFill="1" applyBorder="1" applyAlignment="1">
      <x:alignment wrapText="1"/>
    </x:xf>
    <x:xf numFmtId="201" fontId="10" fillId="0" borderId="11" xfId="0" applyNumberFormat="1" applyFont="1" applyFill="1" applyBorder="1"/>
    <x:xf numFmtId="0" fontId="10" fillId="0" borderId="12" xfId="0" applyNumberFormat="1" applyFont="1" applyFill="1" applyBorder="1" applyAlignment="1">
      <x:alignment wrapText="0"/>
    </x:xf>
    <x:xf numFmtId="0" fontId="7" fillId="8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11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2" fillId="11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2" fillId="11" borderId="0" xfId="0" applyNumberFormat="1" applyFont="1" applyFill="1" applyBorder="1"/>
    <x:xf numFmtId="0" fontId="0" fillId="12" borderId="0" xfId="0" applyNumberFormat="1" applyFont="1" applyFill="1" applyBorder="1"/>
    <x:xf numFmtId="0" fontId="13" fillId="12" borderId="0" xfId="0" applyNumberFormat="1" applyFont="1" applyFill="1" applyBorder="1"/>
    <x:xf numFmtId="0" fontId="13" fillId="12" borderId="13" xfId="0" applyNumberFormat="1" applyFont="1" applyFill="1" applyBorder="1"/>
    <x:xf numFmtId="0" fontId="13" fillId="12" borderId="14" xfId="0" applyNumberFormat="1" applyFont="1" applyFill="1" applyBorder="1"/>
    <x:xf numFmtId="0" fontId="13" fillId="12" borderId="15" xfId="0" applyNumberFormat="1" applyFont="1" applyFill="1" applyBorder="1"/>
    <x:xf numFmtId="0" fontId="13" fillId="12" borderId="13" xfId="0" applyNumberFormat="1" applyFont="1" applyFill="1" applyBorder="1" applyAlignment="1">
      <x:alignment wrapText="1"/>
    </x:xf>
    <x:xf numFmtId="0" fontId="13" fillId="12" borderId="14" xfId="0" applyNumberFormat="1" applyFont="1" applyFill="1" applyBorder="1" applyAlignment="1">
      <x:alignment wrapText="1"/>
    </x:xf>
    <x:xf numFmtId="0" fontId="13" fillId="12" borderId="15" xfId="0" applyNumberFormat="1" applyFont="1" applyFill="1" applyBorder="1" applyAlignment="1">
      <x:alignment wrapText="1"/>
    </x:xf>
    <x:xf numFmtId="0" fontId="13" fillId="12" borderId="13" xfId="0" applyNumberFormat="1" applyFont="1" applyFill="1" applyBorder="1" applyAlignment="1">
      <x:alignment horizontal="center" wrapText="1"/>
    </x:xf>
    <x:xf numFmtId="0" fontId="13" fillId="12" borderId="14" xfId="0" applyNumberFormat="1" applyFont="1" applyFill="1" applyBorder="1" applyAlignment="1">
      <x:alignment horizontal="center" wrapText="1"/>
    </x:xf>
    <x:xf numFmtId="0" fontId="13" fillId="12" borderId="15" xfId="0" applyNumberFormat="1" applyFont="1" applyFill="1" applyBorder="1" applyAlignment="1">
      <x:alignment horizontal="center" wrapText="1"/>
    </x:xf>
    <x:xf numFmtId="0" fontId="13" fillId="12" borderId="13" xfId="0" applyNumberFormat="1" applyFont="1" applyFill="1" applyBorder="1" applyAlignment="1">
      <x:alignment horizontal="center" vertical="center" wrapText="1"/>
    </x:xf>
    <x:xf numFmtId="0" fontId="13" fillId="12" borderId="14" xfId="0" applyNumberFormat="1" applyFont="1" applyFill="1" applyBorder="1" applyAlignment="1">
      <x:alignment horizontal="center" vertical="center" wrapText="1"/>
    </x:xf>
    <x:xf numFmtId="0" fontId="13" fillId="12" borderId="15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  <x:xf numFmtId="20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0"/>
    </x:xf>
    <x:xf numFmtId="202" fontId="10" fillId="0" borderId="4" xfId="0" applyNumberFormat="1" applyFont="1" applyFill="1" applyBorder="1" applyAlignment="1">
      <x:alignment wrapText="1"/>
    </x:xf>
    <x:xf numFmtId="202" fontId="10" fillId="0" borderId="5" xfId="0" applyNumberFormat="1" applyFont="1" applyFill="1" applyBorder="1" applyAlignment="1">
      <x:alignment wrapText="1"/>
    </x:xf>
    <x:xf numFmtId="200" fontId="10" fillId="0" borderId="5" xfId="0" applyNumberFormat="1" applyFont="1" applyFill="1" applyBorder="1" applyAlignment="1">
      <x:alignment wrapText="1"/>
    </x:xf>
    <x:xf numFmtId="202" fontId="10" fillId="0" borderId="7" xfId="0" applyNumberFormat="1" applyFont="1" applyFill="1" applyBorder="1" applyAlignment="1">
      <x:alignment wrapText="1"/>
    </x:xf>
    <x:xf numFmtId="202" fontId="10" fillId="0" borderId="8" xfId="0" applyNumberFormat="1" applyFont="1" applyFill="1" applyBorder="1" applyAlignment="1">
      <x:alignment wrapText="1"/>
    </x:xf>
    <x:xf numFmtId="200" fontId="10" fillId="0" borderId="8" xfId="0" applyNumberFormat="1" applyFont="1" applyFill="1" applyBorder="1" applyAlignment="1">
      <x:alignment wrapText="1"/>
    </x:xf>
    <x:xf numFmtId="202" fontId="10" fillId="0" borderId="10" xfId="0" applyNumberFormat="1" applyFont="1" applyFill="1" applyBorder="1" applyAlignment="1">
      <x:alignment wrapText="1"/>
    </x:xf>
    <x:xf numFmtId="202" fontId="10" fillId="0" borderId="11" xfId="0" applyNumberFormat="1" applyFont="1" applyFill="1" applyBorder="1" applyAlignment="1">
      <x:alignment wrapText="1"/>
    </x:xf>
    <x:xf numFmtId="200" fontId="10" fillId="0" borderId="11" xfId="0" applyNumberFormat="1" applyFont="1" applyFill="1" applyBorder="1" applyAlignment="1">
      <x:alignment wrapText="1"/>
    </x:xf>
  </x:cellXfs>
  <x:cellStyles count="1">
    <x:cellStyle name="Normal" xfId="0"/>
  </x:cellStyles>
  <x:dxfs count="28">
    <x:dxf>
      <x:font>
        <x:b/>
        <x:color rgb="FF176B3A"/>
      </x:font>
      <x:fill>
        <x:patternFill>
          <x:bgColor rgb="FFDDF7E8"/>
        </x:patternFill>
      </x:fill>
    </x:dxf>
    <x:dxf>
      <x:font>
        <x:color rgb="FF9B1C1C"/>
      </x:font>
      <x:fill>
        <x:patternFill>
          <x:bgColor rgb="FFFDE8E8"/>
        </x:patternFill>
      </x:fill>
    </x:dxf>
    <x:dxf>
      <x:font>
        <x:b/>
        <x:color rgb="FF176B3A"/>
      </x:font>
      <x:fill>
        <x:patternFill>
          <x:bgColor rgb="FFDDF7E8"/>
        </x:patternFill>
      </x:fill>
    </x:dxf>
    <x:dxf>
      <x:font>
        <x:color rgb="FF9B1C1C"/>
      </x:font>
      <x:fill>
        <x:patternFill>
          <x:bgColor rgb="FFFDE8E8"/>
        </x:patternFill>
      </x:fill>
    </x:dxf>
    <x:dxf>
      <x:font>
        <x:b/>
        <x:color rgb="FF176B3A"/>
      </x:font>
      <x:fill>
        <x:patternFill>
          <x:bgColor rgb="FFDDF7E8"/>
        </x:patternFill>
      </x:fill>
    </x:dxf>
    <x:dxf>
      <x:font>
        <x:color rgb="FF9B1C1C"/>
      </x:font>
      <x:fill>
        <x:patternFill>
          <x:bgColor rgb="FFFDE8E8"/>
        </x:patternFill>
      </x:fill>
    </x:dxf>
    <x:dxf>
      <x:font>
        <x:b/>
        <x:color rgb="FF176B3A"/>
      </x:font>
      <x:fill>
        <x:patternFill>
          <x:bgColor rgb="FFDDF7E8"/>
        </x:patternFill>
      </x:fill>
    </x:dxf>
    <x:dxf>
      <x:font>
        <x:color rgb="FF9B1C1C"/>
      </x:font>
      <x:fill>
        <x:patternFill>
          <x:bgColor rgb="FFFDE8E8"/>
        </x:patternFill>
      </x:fill>
    </x:dxf>
    <x:dxf>
      <x:font>
        <x:b/>
        <x:color rgb="FF176B3A"/>
      </x:font>
      <x:fill>
        <x:patternFill patternType="solid">
          <x:bgColor rgb="FFDDF7E8"/>
        </x:patternFill>
      </x:fill>
    </x:dxf>
    <x:dxf>
      <x:font>
        <x:color rgb="FF7A4E00"/>
      </x:font>
      <x:fill>
        <x:patternFill patternType="solid">
          <x:bgColor rgb="FFFFF3CD"/>
        </x:patternFill>
      </x:fill>
    </x:dxf>
    <x:dxf>
      <x:font>
        <x:color rgb="FF7A4E00"/>
      </x:font>
      <x:fill>
        <x:patternFill patternType="solid">
          <x:bgColor rgb="FFFFF3CD"/>
        </x:patternFill>
      </x:fill>
    </x:dxf>
    <x:dxf>
      <x:font>
        <x:color rgb="FF9B1C1C"/>
      </x:font>
      <x:fill>
        <x:patternFill patternType="solid">
          <x:bgColor rgb="FFFDE8E8"/>
        </x:patternFill>
      </x:fill>
    </x:dxf>
    <x:dxf>
      <x:font>
        <x:color rgb="FF9B1C1C"/>
      </x:font>
      <x:fill>
        <x:patternFill patternType="solid">
          <x:bgColor rgb="FFFDE8E8"/>
        </x:patternFill>
      </x:fill>
    </x:dxf>
    <x:dxf>
      <x:font>
        <x:b/>
        <x:color rgb="FF176B3A"/>
      </x:font>
      <x:fill>
        <x:patternFill patternType="solid">
          <x:bgColor rgb="FFDDF7E8"/>
        </x:patternFill>
      </x:fill>
    </x:dxf>
    <x:dxf>
      <x:font>
        <x:color rgb="FF7A4E00"/>
      </x:font>
      <x:fill>
        <x:patternFill patternType="solid">
          <x:bgColor rgb="FFFFF3CD"/>
        </x:patternFill>
      </x:fill>
    </x:dxf>
    <x:dxf>
      <x:font>
        <x:color rgb="FF7A4E00"/>
      </x:font>
      <x:fill>
        <x:patternFill patternType="solid">
          <x:bgColor rgb="FFFFF3CD"/>
        </x:patternFill>
      </x:fill>
    </x:dxf>
    <x:dxf>
      <x:font>
        <x:color rgb="FF9B1C1C"/>
      </x:font>
      <x:fill>
        <x:patternFill patternType="solid">
          <x:bgColor rgb="FFFDE8E8"/>
        </x:patternFill>
      </x:fill>
    </x:dxf>
    <x:dxf>
      <x:font>
        <x:color rgb="FF9B1C1C"/>
      </x:font>
      <x:fill>
        <x:patternFill patternType="solid">
          <x:bgColor rgb="FFFDE8E8"/>
        </x:patternFill>
      </x:fill>
    </x:dxf>
    <x:dxf>
      <x:font>
        <x:b/>
        <x:color rgb="FF176B3A"/>
      </x:font>
      <x:fill>
        <x:patternFill patternType="solid">
          <x:bgColor rgb="FFDDF7E8"/>
        </x:patternFill>
      </x:fill>
    </x:dxf>
    <x:dxf>
      <x:font>
        <x:color rgb="FF7A4E00"/>
      </x:font>
      <x:fill>
        <x:patternFill patternType="solid">
          <x:bgColor rgb="FFFFF3CD"/>
        </x:patternFill>
      </x:fill>
    </x:dxf>
    <x:dxf>
      <x:font>
        <x:color rgb="FF7A4E00"/>
      </x:font>
      <x:fill>
        <x:patternFill patternType="solid">
          <x:bgColor rgb="FFFFF3CD"/>
        </x:patternFill>
      </x:fill>
    </x:dxf>
    <x:dxf>
      <x:font>
        <x:color rgb="FF9B1C1C"/>
      </x:font>
      <x:fill>
        <x:patternFill patternType="solid">
          <x:bgColor rgb="FFFDE8E8"/>
        </x:patternFill>
      </x:fill>
    </x:dxf>
    <x:dxf>
      <x:font>
        <x:color rgb="FF9B1C1C"/>
      </x:font>
      <x:fill>
        <x:patternFill patternType="solid">
          <x:bgColor rgb="FFFDE8E8"/>
        </x:patternFill>
      </x:fill>
    </x:dxf>
    <x:dxf>
      <x:font>
        <x:b/>
        <x:color rgb="FF176B3A"/>
      </x:font>
      <x:fill>
        <x:patternFill patternType="solid">
          <x:bgColor rgb="FFDDF7E8"/>
        </x:patternFill>
      </x:fill>
    </x:dxf>
    <x:dxf>
      <x:font>
        <x:color rgb="FF7A4E00"/>
      </x:font>
      <x:fill>
        <x:patternFill patternType="solid">
          <x:bgColor rgb="FFFFF3CD"/>
        </x:patternFill>
      </x:fill>
    </x:dxf>
    <x:dxf>
      <x:font>
        <x:color rgb="FF7A4E00"/>
      </x:font>
      <x:fill>
        <x:patternFill patternType="solid">
          <x:bgColor rgb="FFFFF3CD"/>
        </x:patternFill>
      </x:fill>
    </x:dxf>
    <x:dxf>
      <x:font>
        <x:color rgb="FF9B1C1C"/>
      </x:font>
      <x:fill>
        <x:patternFill patternType="solid">
          <x:bgColor rgb="FFFDE8E8"/>
        </x:patternFill>
      </x:fill>
    </x:dxf>
    <x:dxf>
      <x:font>
        <x:color rgb="FF9B1C1C"/>
      </x:font>
      <x:fill>
        <x:patternFill patternType="solid">
          <x:bgColor rgb="FFFD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5dda0373814c8a" /><Relationship Type="http://schemas.openxmlformats.org/officeDocument/2006/relationships/theme" Target="/xl/theme/theme1.xml" Id="Rf14f436556034257" /><Relationship Type="http://schemas.openxmlformats.org/officeDocument/2006/relationships/sharedStrings" Target="/xl/sharedStrings.xml" Id="Rc40a91d4c98f4cd5" /><Relationship Type="http://schemas.openxmlformats.org/officeDocument/2006/relationships/worksheet" Target="/xl/worksheets/sheet1.xml" Id="R365463a169184777" /><Relationship Type="http://schemas.openxmlformats.org/officeDocument/2006/relationships/worksheet" Target="/xl/worksheets/sheet2.xml" Id="Re7d08620c39e45bf" /><Relationship Type="http://schemas.openxmlformats.org/officeDocument/2006/relationships/worksheet" Target="/xl/worksheets/sheet3.xml" Id="Rec1e3d0b024e4eed" /><Relationship Type="http://schemas.openxmlformats.org/officeDocument/2006/relationships/worksheet" Target="/xl/worksheets/sheet4.xml" Id="R376e6b9d409c4762" /></Relationships>
</file>

<file path=xl/tables/table1.xml><?xml version="1.0" encoding="utf-8"?>
<x:table xmlns:x="http://schemas.openxmlformats.org/spreadsheetml/2006/main" id="1" name="DIG_SHA_All" displayName="DIG_SHA_All" ref="A7:T36" headerRowCount="1" totalsRowCount="0" totalsRowShown="0">
  <x:autoFilter ref="A7:T36"/>
  <x:tableColumns count="20">
    <x:tableColumn id="1" name="序号"/>
    <x:tableColumn id="2" name="出发日期"/>
    <x:tableColumn id="3" name="返程日期"/>
    <x:tableColumn id="4" name="停留天数"/>
    <x:tableColumn id="5" name="航空公司"/>
    <x:tableColumn id="6" name="出发时间"/>
    <x:tableColumn id="7" name="到达时间"/>
    <x:tableColumn id="8" name="出发机场"/>
    <x:tableColumn id="9" name="到达机场"/>
    <x:tableColumn id="10" name="经停次数"/>
    <x:tableColumn id="11" name="中转信息"/>
    <x:tableColumn id="12" name="去程时长"/>
    <x:tableColumn id="13" name="Google往返起价"/>
    <x:tableColumn id="14" name="20kg行李估算"/>
    <x:tableColumn id="15" name="含20kg估算总价"/>
    <x:tableColumn id="16" name="严格低于¥5,000"/>
    <x:tableColumn id="17" name="行李口径"/>
    <x:tableColumn id="18" name="返程说明"/>
    <x:tableColumn id="19" name="搜索时间"/>
    <x:tableColumn id="20" name="来源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DIG_SHA_All_Return" displayName="DIG_SHA_All_Return" ref="U7:AF36" headerRowCount="1" totalsRowCount="0" totalsRowShown="0">
  <x:autoFilter ref="U7:AF36"/>
  <x:tableColumns count="12">
    <x:tableColumn id="1" name="返程出发日期"/>
    <x:tableColumn id="2" name="返程起飞时间"/>
    <x:tableColumn id="3" name="返程出发机场"/>
    <x:tableColumn id="4" name="返程到达日期"/>
    <x:tableColumn id="5" name="返程到达时间"/>
    <x:tableColumn id="6" name="返程到达机场"/>
    <x:tableColumn id="7" name="返程航空公司"/>
    <x:tableColumn id="8" name="返程经停次数"/>
    <x:tableColumn id="9" name="返程时长"/>
    <x:tableColumn id="10" name="当前返程总价"/>
    <x:tableColumn id="11" name="返程匹配状态"/>
    <x:tableColumn id="12" name="返程来源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DIG_SHA_Top10" displayName="DIG_SHA_Top10" ref="A7:T17" headerRowCount="1" totalsRowCount="0" totalsRowShown="0">
  <x:autoFilter ref="A7:T17"/>
  <x:tableColumns count="20">
    <x:tableColumn id="1" name="序号"/>
    <x:tableColumn id="2" name="出发日期"/>
    <x:tableColumn id="3" name="返程日期"/>
    <x:tableColumn id="4" name="停留天数"/>
    <x:tableColumn id="5" name="航空公司"/>
    <x:tableColumn id="6" name="出发时间"/>
    <x:tableColumn id="7" name="到达时间"/>
    <x:tableColumn id="8" name="出发机场"/>
    <x:tableColumn id="9" name="到达机场"/>
    <x:tableColumn id="10" name="经停次数"/>
    <x:tableColumn id="11" name="中转信息"/>
    <x:tableColumn id="12" name="去程时长"/>
    <x:tableColumn id="13" name="Google往返起价"/>
    <x:tableColumn id="14" name="20kg行李估算"/>
    <x:tableColumn id="15" name="含20kg估算总价"/>
    <x:tableColumn id="16" name="严格低于¥5,000"/>
    <x:tableColumn id="17" name="行李口径"/>
    <x:tableColumn id="18" name="返程说明"/>
    <x:tableColumn id="19" name="搜索时间"/>
    <x:tableColumn id="20" name="来源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6" name="DIG_SHA_Top10_Return" displayName="DIG_SHA_Top10_Return" ref="U7:AF17" headerRowCount="1" totalsRowCount="0" totalsRowShown="0">
  <x:autoFilter ref="U7:AF17"/>
  <x:tableColumns count="12">
    <x:tableColumn id="1" name="返程出发日期"/>
    <x:tableColumn id="2" name="返程起飞时间"/>
    <x:tableColumn id="3" name="返程出发机场"/>
    <x:tableColumn id="4" name="返程到达日期"/>
    <x:tableColumn id="5" name="返程到达时间"/>
    <x:tableColumn id="6" name="返程到达机场"/>
    <x:tableColumn id="7" name="返程航空公司"/>
    <x:tableColumn id="8" name="返程经停次数"/>
    <x:tableColumn id="9" name="返程时长"/>
    <x:tableColumn id="10" name="当前返程总价"/>
    <x:tableColumn id="11" name="返程匹配状态"/>
    <x:tableColumn id="12" name="返程来源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3" name="DIG_CKG_All" displayName="DIG_CKG_All" ref="A7:T17" headerRowCount="1" totalsRowCount="0" totalsRowShown="0">
  <x:autoFilter ref="A7:T17"/>
  <x:tableColumns count="20">
    <x:tableColumn id="1" name="序号"/>
    <x:tableColumn id="2" name="出发日期"/>
    <x:tableColumn id="3" name="返程日期"/>
    <x:tableColumn id="4" name="停留天数"/>
    <x:tableColumn id="5" name="航空公司"/>
    <x:tableColumn id="6" name="出发时间"/>
    <x:tableColumn id="7" name="到达时间"/>
    <x:tableColumn id="8" name="出发机场"/>
    <x:tableColumn id="9" name="到达机场"/>
    <x:tableColumn id="10" name="经停次数"/>
    <x:tableColumn id="11" name="中转信息"/>
    <x:tableColumn id="12" name="去程时长"/>
    <x:tableColumn id="13" name="Google往返起价"/>
    <x:tableColumn id="14" name="20kg行李估算"/>
    <x:tableColumn id="15" name="含20kg估算总价"/>
    <x:tableColumn id="16" name="严格低于¥5,000"/>
    <x:tableColumn id="17" name="行李口径"/>
    <x:tableColumn id="18" name="返程说明"/>
    <x:tableColumn id="19" name="搜索时间"/>
    <x:tableColumn id="20" name="来源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DIG_CKG_All_Return" displayName="DIG_CKG_All_Return" ref="U7:AF17" headerRowCount="1" totalsRowCount="0" totalsRowShown="0">
  <x:autoFilter ref="U7:AF17"/>
  <x:tableColumns count="12">
    <x:tableColumn id="1" name="返程出发日期"/>
    <x:tableColumn id="2" name="返程起飞时间"/>
    <x:tableColumn id="3" name="返程出发机场"/>
    <x:tableColumn id="4" name="返程到达日期"/>
    <x:tableColumn id="5" name="返程到达时间"/>
    <x:tableColumn id="6" name="返程到达机场"/>
    <x:tableColumn id="7" name="返程航空公司"/>
    <x:tableColumn id="8" name="返程经停次数"/>
    <x:tableColumn id="9" name="返程时长"/>
    <x:tableColumn id="10" name="当前返程总价"/>
    <x:tableColumn id="11" name="返程匹配状态"/>
    <x:tableColumn id="12" name="返程来源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4" name="DIG_CKG_Top10" displayName="DIG_CKG_Top10" ref="A7:T17" headerRowCount="1" totalsRowCount="0" totalsRowShown="0">
  <x:autoFilter ref="A7:T17"/>
  <x:tableColumns count="20">
    <x:tableColumn id="1" name="序号"/>
    <x:tableColumn id="2" name="出发日期"/>
    <x:tableColumn id="3" name="返程日期"/>
    <x:tableColumn id="4" name="停留天数"/>
    <x:tableColumn id="5" name="航空公司"/>
    <x:tableColumn id="6" name="出发时间"/>
    <x:tableColumn id="7" name="到达时间"/>
    <x:tableColumn id="8" name="出发机场"/>
    <x:tableColumn id="9" name="到达机场"/>
    <x:tableColumn id="10" name="经停次数"/>
    <x:tableColumn id="11" name="中转信息"/>
    <x:tableColumn id="12" name="去程时长"/>
    <x:tableColumn id="13" name="Google往返起价"/>
    <x:tableColumn id="14" name="20kg行李估算"/>
    <x:tableColumn id="15" name="含20kg估算总价"/>
    <x:tableColumn id="16" name="严格低于¥5,000"/>
    <x:tableColumn id="17" name="行李口径"/>
    <x:tableColumn id="18" name="返程说明"/>
    <x:tableColumn id="19" name="搜索时间"/>
    <x:tableColumn id="20" name="来源UR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IG_CKG_Top10_Return" displayName="DIG_CKG_Top10_Return" ref="U7:AF17" headerRowCount="1" totalsRowCount="0" totalsRowShown="0">
  <x:autoFilter ref="U7:AF17"/>
  <x:tableColumns count="12">
    <x:tableColumn id="1" name="返程出发日期"/>
    <x:tableColumn id="2" name="返程起飞时间"/>
    <x:tableColumn id="3" name="返程出发机场"/>
    <x:tableColumn id="4" name="返程到达日期"/>
    <x:tableColumn id="5" name="返程到达时间"/>
    <x:tableColumn id="6" name="返程到达机场"/>
    <x:tableColumn id="7" name="返程航空公司"/>
    <x:tableColumn id="8" name="返程经停次数"/>
    <x:tableColumn id="9" name="返程时长"/>
    <x:tableColumn id="10" name="当前返程总价"/>
    <x:tableColumn id="11" name="返程匹配状态"/>
    <x:tableColumn id="12" name="返程来源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9bad2ee89442ab" /><Relationship Type="http://schemas.openxmlformats.org/officeDocument/2006/relationships/table" Target="/xl/tables/table2.xml" Id="R234b15d862814c9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35ba02dd5cb4481d" /><Relationship Type="http://schemas.openxmlformats.org/officeDocument/2006/relationships/table" Target="/xl/tables/table4.xml" Id="Ra11868f0585449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fd4104158b9c45b7" /><Relationship Type="http://schemas.openxmlformats.org/officeDocument/2006/relationships/table" Target="/xl/tables/table6.xml" Id="Rd05b528676cb48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0861eca990c644f1" /><Relationship Type="http://schemas.openxmlformats.org/officeDocument/2006/relationships/table" Target="/xl/tables/table8.xml" Id="R54de68c247694f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2" hidden="0" customWidth="1"/>
    <x:col min="4" max="4" width="8" hidden="0" customWidth="1"/>
    <x:col min="5" max="5" width="21" hidden="0" customWidth="1"/>
    <x:col min="6" max="6" width="10" hidden="0" customWidth="1"/>
    <x:col min="7" max="7" width="10" hidden="0" customWidth="1"/>
    <x:col min="8" max="8" width="24" hidden="0" customWidth="1"/>
    <x:col min="9" max="9" width="24" hidden="0" customWidth="1"/>
    <x:col min="10" max="10" width="8" hidden="0" customWidth="1"/>
    <x:col min="11" max="11" width="27" hidden="0" customWidth="1"/>
    <x:col min="12" max="12" width="14" hidden="0" customWidth="1"/>
    <x:col min="13" max="13" width="14" hidden="0" customWidth="1"/>
    <x:col min="14" max="14" width="14" hidden="0" customWidth="1"/>
    <x:col min="15" max="15" width="15" hidden="0" customWidth="1"/>
    <x:col min="16" max="16" width="13" hidden="0" customWidth="1"/>
    <x:col min="17" max="17" width="39" hidden="0" customWidth="1"/>
    <x:col min="18" max="18" width="42" hidden="0" customWidth="1"/>
    <x:col min="19" max="19" width="20" hidden="0" customWidth="1"/>
    <x:col min="20" max="20" width="58" hidden="0" customWidth="1"/>
    <x:col min="21" max="21" width="12" hidden="0" customWidth="1"/>
    <x:col min="22" max="22" width="10" hidden="0" customWidth="1"/>
    <x:col min="23" max="23" width="24" hidden="0" customWidth="1"/>
    <x:col min="24" max="24" width="12" hidden="0" customWidth="1"/>
    <x:col min="25" max="25" width="10" hidden="0" customWidth="1"/>
    <x:col min="26" max="26" width="24" hidden="0" customWidth="1"/>
    <x:col min="27" max="27" width="20" hidden="0" customWidth="1"/>
    <x:col min="28" max="28" width="9" hidden="0" customWidth="1"/>
    <x:col min="29" max="29" width="14" hidden="0" customWidth="1"/>
    <x:col min="30" max="30" width="14" hidden="0" customWidth="1"/>
    <x:col min="31" max="31" width="34" hidden="0" customWidth="1"/>
    <x:col min="32" max="32" width="58" hidden="0" customWidth="1"/>
  </x:cols>
  <x:sheetData>
    <x:row r="1" ht="32" customHeight="1">
      <x:c r="A1" s="101" t="str">
        <x:v>上海 → 香格里拉（DIG） 全集</x:v>
      </x:c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  <x:c r="N1" s="101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  <x:c r="AA1" s="101"/>
      <x:c r="AB1" s="101"/>
      <x:c r="AC1" s="101"/>
      <x:c r="AD1" s="101"/>
      <x:c r="AE1" s="101"/>
      <x:c r="AF1" s="101"/>
    </x:row>
    <x:row r="2" ht="28" customHeight="1">
      <x:c r="A2" s="104" t="str">
        <x:v>全集 = 2026-10-01 至 10-09、停留4–7天的14个日期组合中，所有当前可见且含20kg估算后严格低于¥5,000的唯一方案。</x:v>
      </x:c>
      <x:c r="B2" s="104"/>
      <x:c r="C2" s="104"/>
      <x:c r="D2" s="104"/>
      <x:c r="E2" s="104"/>
      <x:c r="F2" s="104"/>
      <x:c r="G2" s="104"/>
      <x:c r="H2" s="104"/>
      <x:c r="I2" s="104"/>
      <x:c r="J2" s="104"/>
      <x:c r="K2" s="104"/>
      <x:c r="L2" s="104"/>
      <x:c r="M2" s="104"/>
      <x:c r="N2" s="104"/>
      <x:c r="O2" s="104"/>
      <x:c r="P2" s="104"/>
      <x:c r="Q2" s="104"/>
      <x:c r="R2" s="104"/>
      <x:c r="S2" s="104"/>
      <x:c r="T2" s="104"/>
      <x:c r="U2" s="104"/>
      <x:c r="V2" s="104"/>
      <x:c r="W2" s="104"/>
      <x:c r="X2" s="104"/>
      <x:c r="Y2" s="104"/>
      <x:c r="Z2" s="104"/>
      <x:c r="AA2" s="104"/>
      <x:c r="AB2" s="104"/>
      <x:c r="AC2" s="104"/>
      <x:c r="AD2" s="104"/>
      <x:c r="AE2" s="104"/>
      <x:c r="AF2" s="104"/>
    </x:row>
    <x:row r="3">
      <x:c r="A3" s="68" t="str">
        <x:v>方案数</x:v>
      </x:c>
      <x:c r="B3" s="68" t="n">
        <x:f>COUNTA(A8:A36)</x:f>
        <x:v>29</x:v>
      </x:c>
      <x:c r="C3" s="68"/>
      <x:c r="D3" s="68" t="str">
        <x:v>覆盖日期组合</x:v>
      </x:c>
      <x:c r="E3" s="68" t="str">
        <x:v>3/14</x:v>
      </x:c>
      <x:c r="F3" s="68"/>
      <x:c r="G3" s="68" t="str">
        <x:v>最低含行李价</x:v>
      </x:c>
      <x:c r="H3" s="69" t="n">
        <x:f>MIN(O8:O36)</x:f>
        <x:v>2998</x:v>
      </x:c>
      <x:c r="I3" s="68"/>
      <x:c r="J3" s="68" t="str">
        <x:v>最高合格价</x:v>
      </x:c>
      <x:c r="K3" s="69" t="n">
        <x:f>MAX(O8:O36)</x:f>
        <x:v>4923</x:v>
      </x:c>
      <x:c r="L3" s="68"/>
      <x:c r="M3" s="68" t="str">
        <x:v>价格上限</x:v>
      </x:c>
      <x:c r="N3" s="69" t="n">
        <x:v>5000</x:v>
      </x:c>
      <x:c r="O3" s="68"/>
      <x:c r="P3" s="68" t="str">
        <x:v>搜索时间</x:v>
      </x:c>
      <x:c r="Q3" s="70" t="n">
        <x:v>46267.752321875</x:v>
      </x:c>
      <x:c r="R3" s="71"/>
      <x:c r="S3" s="71"/>
      <x:c r="T3" s="71"/>
    </x:row>
    <x:row r="4" ht="28" customHeight="1">
      <x:c r="A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B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C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D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E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F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G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H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I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J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K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L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M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N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O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P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Q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R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S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T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U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V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W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X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Y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Z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A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B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C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D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E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F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</x:row>
    <x:row r="5" ht="34" customHeight="1">
      <x:c r="A5" s="110" t="str">
        <x:v>行李来源：春秋航空 https://www.ch.com/News/09931f418e51475d9bdee6c598343199.html；西部航空 https://www.westair.cn/stcontent/menupage/fe61b2ec-9adb-4033-9d00-3297748aa1cc/88f48e03-163c-4dd9-9229-8be70d1ba853/71901746-da70-4e43-84bc-f2d2c01278a3。传统航司按国内经济舱通常20kg处理，差异化航司采用保守预留，出票前仍须复核。</x:v>
      </x:c>
      <x:c r="B5" s="110"/>
      <x:c r="C5" s="110"/>
      <x:c r="D5" s="110"/>
      <x:c r="E5" s="110"/>
      <x:c r="F5" s="110"/>
      <x:c r="G5" s="110"/>
      <x:c r="H5" s="110"/>
      <x:c r="I5" s="110"/>
      <x:c r="J5" s="110"/>
      <x:c r="K5" s="110"/>
      <x:c r="L5" s="110"/>
      <x:c r="M5" s="110"/>
      <x:c r="N5" s="110"/>
      <x:c r="O5" s="110"/>
      <x:c r="P5" s="110"/>
      <x:c r="Q5" s="110"/>
      <x:c r="R5" s="110"/>
      <x:c r="S5" s="110"/>
      <x:c r="T5" s="110"/>
      <x:c r="U5" s="110"/>
      <x:c r="V5" s="110"/>
      <x:c r="W5" s="110"/>
      <x:c r="X5" s="110"/>
      <x:c r="Y5" s="110"/>
      <x:c r="Z5" s="110"/>
      <x:c r="AA5" s="110"/>
      <x:c r="AB5" s="110"/>
      <x:c r="AC5" s="110"/>
      <x:c r="AD5" s="110"/>
      <x:c r="AE5" s="110"/>
      <x:c r="AF5" s="110"/>
    </x:row>
    <x:row r="6">
      <x:c r="A6" s="71"/>
      <x:c r="B6" s="71"/>
      <x:c r="C6" s="71"/>
      <x:c r="D6" s="71"/>
      <x:c r="E6" s="71"/>
      <x:c r="F6" s="71"/>
      <x:c r="G6" s="71"/>
      <x:c r="H6" s="71"/>
      <x:c r="I6" s="71"/>
      <x:c r="J6" s="71"/>
      <x:c r="K6" s="71"/>
      <x:c r="L6" s="71"/>
      <x:c r="M6" s="71"/>
      <x:c r="N6" s="71"/>
      <x:c r="O6" s="71"/>
      <x:c r="P6" s="71"/>
      <x:c r="Q6" s="71"/>
      <x:c r="R6" s="71"/>
      <x:c r="S6" s="71"/>
      <x:c r="T6" s="71"/>
    </x:row>
    <x:row r="7" ht="34" customHeight="1">
      <x:c r="A7" s="74" t="str">
        <x:v>序号</x:v>
      </x:c>
      <x:c r="B7" s="75" t="str">
        <x:v>出发日期</x:v>
      </x:c>
      <x:c r="C7" s="75" t="str">
        <x:v>返程日期</x:v>
      </x:c>
      <x:c r="D7" s="75" t="str">
        <x:v>停留天数</x:v>
      </x:c>
      <x:c r="E7" s="75" t="str">
        <x:v>航空公司</x:v>
      </x:c>
      <x:c r="F7" s="75" t="str">
        <x:v>出发时间</x:v>
      </x:c>
      <x:c r="G7" s="75" t="str">
        <x:v>到达时间</x:v>
      </x:c>
      <x:c r="H7" s="75" t="str">
        <x:v>出发机场</x:v>
      </x:c>
      <x:c r="I7" s="75" t="str">
        <x:v>到达机场</x:v>
      </x:c>
      <x:c r="J7" s="75" t="str">
        <x:v>经停次数</x:v>
      </x:c>
      <x:c r="K7" s="75" t="str">
        <x:v>中转信息</x:v>
      </x:c>
      <x:c r="L7" s="75" t="str">
        <x:v>去程时长</x:v>
      </x:c>
      <x:c r="M7" s="75" t="str">
        <x:v>Google往返起价</x:v>
      </x:c>
      <x:c r="N7" s="75" t="str">
        <x:v>20kg行李估算</x:v>
      </x:c>
      <x:c r="O7" s="75" t="str">
        <x:v>含20kg估算总价</x:v>
      </x:c>
      <x:c r="P7" s="75" t="str">
        <x:v>严格低于¥5,000</x:v>
      </x:c>
      <x:c r="Q7" s="75" t="str">
        <x:v>行李口径</x:v>
      </x:c>
      <x:c r="R7" s="75" t="str">
        <x:v>返程说明</x:v>
      </x:c>
      <x:c r="S7" s="75" t="str">
        <x:v>搜索时间</x:v>
      </x:c>
      <x:c r="T7" s="76" t="str">
        <x:v>来源URL</x:v>
      </x:c>
      <x:c r="U7" s="124" t="str">
        <x:v>返程出发日期</x:v>
      </x:c>
      <x:c r="V7" s="125" t="str">
        <x:v>返程起飞时间</x:v>
      </x:c>
      <x:c r="W7" s="125" t="str">
        <x:v>返程出发机场</x:v>
      </x:c>
      <x:c r="X7" s="125" t="str">
        <x:v>返程到达日期</x:v>
      </x:c>
      <x:c r="Y7" s="125" t="str">
        <x:v>返程到达时间</x:v>
      </x:c>
      <x:c r="Z7" s="125" t="str">
        <x:v>返程到达机场</x:v>
      </x:c>
      <x:c r="AA7" s="125" t="str">
        <x:v>返程航空公司</x:v>
      </x:c>
      <x:c r="AB7" s="125" t="str">
        <x:v>返程经停次数</x:v>
      </x:c>
      <x:c r="AC7" s="125" t="str">
        <x:v>返程时长</x:v>
      </x:c>
      <x:c r="AD7" s="125" t="str">
        <x:v>当前返程总价</x:v>
      </x:c>
      <x:c r="AE7" s="125" t="str">
        <x:v>返程匹配状态</x:v>
      </x:c>
      <x:c r="AF7" s="126" t="str">
        <x:v>返程来源URL</x:v>
      </x:c>
    </x:row>
    <x:row r="8" ht="42" customHeight="1">
      <x:c r="A8" s="77" t="n">
        <x:f>ROW()-7</x:f>
        <x:v>1</x:v>
      </x:c>
      <x:c r="B8" s="78" t="n">
        <x:v>46298</x:v>
      </x:c>
      <x:c r="C8" s="78" t="n">
        <x:v>46304</x:v>
      </x:c>
      <x:c r="D8" s="79" t="n">
        <x:v>6</x:v>
      </x:c>
      <x:c r="E8" s="80" t="str">
        <x:v>东航</x:v>
      </x:c>
      <x:c r="F8" s="80" t="str">
        <x:v>21:40</x:v>
      </x:c>
      <x:c r="G8" s="80" t="str">
        <x:v>07:55 +1</x:v>
      </x:c>
      <x:c r="H8" s="80" t="str">
        <x:v>上海浦东国际机场</x:v>
      </x:c>
      <x:c r="I8" s="80" t="str">
        <x:v>迪庆香格里拉机场</x:v>
      </x:c>
      <x:c r="J8" s="80" t="n">
        <x:v>1</x:v>
      </x:c>
      <x:c r="K8" s="80" t="str">
        <x:v>昆明市的昆明长水国际机场 / 5 小时 25 分钟</x:v>
      </x:c>
      <x:c r="L8" s="80" t="str">
        <x:v>10 小时 15 分钟</x:v>
      </x:c>
      <x:c r="M8" s="81" t="n">
        <x:v>2998</x:v>
      </x:c>
      <x:c r="N8" s="81" t="n">
        <x:v>0</x:v>
      </x:c>
      <x:c r="O8" s="81" t="n">
        <x:f>M8+N8</x:f>
        <x:v>2998</x:v>
      </x:c>
      <x:c r="P8" s="80" t="str">
        <x:f>IF(O8&lt;5000,"是","否")</x:f>
        <x:v>是</x:v>
      </x:c>
      <x:c r="Q8" s="82" t="str">
        <x:v>国内经济舱通常含20kg；出票前须按实际票价等级复核</x:v>
      </x:c>
      <x:c r="R8" s="82" t="str">
        <x:v>该去程对应的最低可订返程组合；具体返程航班需打开来源链接确认</x:v>
      </x:c>
      <x:c r="S8" s="83" t="n">
        <x:v>46267.74857527778</x:v>
      </x:c>
      <x:c r="T8" s="84" t="str">
        <x:v>https://www.google.com/travel/flights?hl=zh-CN&amp;curr=CNY&amp;q=Flights%20from%20Shanghai%20to%20DIG%20from%202026-10-03%20to%202026-10-09</x:v>
      </x:c>
      <x:c r="U8" s="133"/>
      <x:c r="V8" s="82"/>
      <x:c r="W8" s="82"/>
      <x:c r="X8" s="134"/>
      <x:c r="Y8" s="82"/>
      <x:c r="Z8" s="82"/>
      <x:c r="AA8" s="82"/>
      <x:c r="AB8" s="82"/>
      <x:c r="AC8" s="82"/>
      <x:c r="AD8" s="135"/>
      <x:c r="AE8" s="82" t="str">
        <x:v>去程当前未找到，返程待核验</x:v>
      </x:c>
      <x:c r="AF8" s="84" t="str">
        <x:v>https://www.google.com/travel/flights?hl=zh-CN&amp;curr=CNY&amp;q=Flights%20from%20Shanghai%20to%20DIG%20from%202026-10-03%20to%202026-10-09</x:v>
      </x:c>
    </x:row>
    <x:row r="9" ht="42" customHeight="1">
      <x:c r="A9" s="85" t="n">
        <x:f>ROW()-7</x:f>
        <x:v>2</x:v>
      </x:c>
      <x:c r="B9" s="86" t="n">
        <x:v>46298</x:v>
      </x:c>
      <x:c r="C9" s="86" t="n">
        <x:v>46304</x:v>
      </x:c>
      <x:c r="D9" s="87" t="n">
        <x:v>6</x:v>
      </x:c>
      <x:c r="E9" s="88" t="str">
        <x:v>东航</x:v>
      </x:c>
      <x:c r="F9" s="88" t="str">
        <x:v>22:25</x:v>
      </x:c>
      <x:c r="G9" s="88" t="str">
        <x:v>12:20 +1</x:v>
      </x:c>
      <x:c r="H9" s="88" t="str">
        <x:v>上海浦东国际机场</x:v>
      </x:c>
      <x:c r="I9" s="88" t="str">
        <x:v>迪庆香格里拉机场</x:v>
      </x:c>
      <x:c r="J9" s="88" t="n">
        <x:v>1</x:v>
      </x:c>
      <x:c r="K9" s="88" t="str">
        <x:v>广州市的广州白云国际机场 / 8 小时 10 分钟</x:v>
      </x:c>
      <x:c r="L9" s="88" t="str">
        <x:v>13 小时 55 分钟</x:v>
      </x:c>
      <x:c r="M9" s="89" t="n">
        <x:v>3285</x:v>
      </x:c>
      <x:c r="N9" s="89" t="n">
        <x:v>0</x:v>
      </x:c>
      <x:c r="O9" s="89" t="n">
        <x:f>M9+N9</x:f>
        <x:v>3285</x:v>
      </x:c>
      <x:c r="P9" s="88" t="str">
        <x:f>IF(O9&lt;5000,"是","否")</x:f>
        <x:v>是</x:v>
      </x:c>
      <x:c r="Q9" s="90" t="str">
        <x:v>国内经济舱通常含20kg；出票前须按实际票价等级复核</x:v>
      </x:c>
      <x:c r="R9" s="90" t="str">
        <x:v>该去程对应的最低可订返程组合；具体返程航班需打开来源链接确认</x:v>
      </x:c>
      <x:c r="S9" s="91" t="n">
        <x:v>46267.74857527778</x:v>
      </x:c>
      <x:c r="T9" s="92" t="str">
        <x:v>https://www.google.com/travel/flights?hl=zh-CN&amp;curr=CNY&amp;q=Flights%20from%20Shanghai%20to%20DIG%20from%202026-10-03%20to%202026-10-09</x:v>
      </x:c>
      <x:c r="U9" s="136"/>
      <x:c r="V9" s="90"/>
      <x:c r="W9" s="90"/>
      <x:c r="X9" s="137"/>
      <x:c r="Y9" s="90"/>
      <x:c r="Z9" s="90"/>
      <x:c r="AA9" s="90"/>
      <x:c r="AB9" s="90"/>
      <x:c r="AC9" s="90"/>
      <x:c r="AD9" s="138"/>
      <x:c r="AE9" s="90" t="str">
        <x:v>去程当前未找到，返程待核验</x:v>
      </x:c>
      <x:c r="AF9" s="92" t="str">
        <x:v>https://www.google.com/travel/flights?hl=zh-CN&amp;curr=CNY&amp;q=Flights%20from%20Shanghai%20to%20DIG%20from%202026-10-03%20to%202026-10-09</x:v>
      </x:c>
    </x:row>
    <x:row r="10" ht="42" customHeight="1">
      <x:c r="A10" s="85" t="n">
        <x:f>ROW()-7</x:f>
        <x:v>3</x:v>
      </x:c>
      <x:c r="B10" s="86" t="n">
        <x:v>46298</x:v>
      </x:c>
      <x:c r="C10" s="86" t="n">
        <x:v>46304</x:v>
      </x:c>
      <x:c r="D10" s="87" t="n">
        <x:v>6</x:v>
      </x:c>
      <x:c r="E10" s="88" t="str">
        <x:v>国航和东航</x:v>
      </x:c>
      <x:c r="F10" s="88" t="str">
        <x:v>14:55</x:v>
      </x:c>
      <x:c r="G10" s="88" t="str">
        <x:v>23:15</x:v>
      </x:c>
      <x:c r="H10" s="88" t="str">
        <x:v>上海浦东国际机场</x:v>
      </x:c>
      <x:c r="I10" s="88" t="str">
        <x:v>迪庆香格里拉机场</x:v>
      </x:c>
      <x:c r="J10" s="88" t="n">
        <x:v>1</x:v>
      </x:c>
      <x:c r="K10" s="88" t="str">
        <x:v>昆明市的昆明长水国际机场 / 3 小时 25 分钟</x:v>
      </x:c>
      <x:c r="L10" s="88" t="str">
        <x:v>8 小时 20 分钟</x:v>
      </x:c>
      <x:c r="M10" s="89" t="n">
        <x:v>3291</x:v>
      </x:c>
      <x:c r="N10" s="89" t="n">
        <x:v>0</x:v>
      </x:c>
      <x:c r="O10" s="89" t="n">
        <x:f>M10+N10</x:f>
        <x:v>3291</x:v>
      </x:c>
      <x:c r="P10" s="88" t="str">
        <x:f>IF(O10&lt;5000,"是","否")</x:f>
        <x:v>是</x:v>
      </x:c>
      <x:c r="Q10" s="90" t="str">
        <x:v>国内经济舱通常含20kg；出票前须按实际票价等级复核</x:v>
      </x:c>
      <x:c r="R10" s="90" t="str">
        <x:v>该去程对应的最低可订返程组合；具体返程航班需打开来源链接确认</x:v>
      </x:c>
      <x:c r="S10" s="91" t="n">
        <x:v>46267.74857527778</x:v>
      </x:c>
      <x:c r="T10" s="92" t="str">
        <x:v>https://www.google.com/travel/flights?hl=zh-CN&amp;curr=CNY&amp;q=Flights%20from%20Shanghai%20to%20DIG%20from%202026-10-03%20to%202026-10-09</x:v>
      </x:c>
      <x:c r="U10" s="136"/>
      <x:c r="V10" s="90"/>
      <x:c r="W10" s="90"/>
      <x:c r="X10" s="137"/>
      <x:c r="Y10" s="90"/>
      <x:c r="Z10" s="90"/>
      <x:c r="AA10" s="90"/>
      <x:c r="AB10" s="90"/>
      <x:c r="AC10" s="90"/>
      <x:c r="AD10" s="138"/>
      <x:c r="AE10" s="90" t="str">
        <x:v>去程当前未找到，返程待核验</x:v>
      </x:c>
      <x:c r="AF10" s="92" t="str">
        <x:v>https://www.google.com/travel/flights?hl=zh-CN&amp;curr=CNY&amp;q=Flights%20from%20Shanghai%20to%20DIG%20from%202026-10-03%20to%202026-10-09</x:v>
      </x:c>
    </x:row>
    <x:row r="11" ht="42" customHeight="1">
      <x:c r="A11" s="85" t="n">
        <x:f>ROW()-7</x:f>
        <x:v>4</x:v>
      </x:c>
      <x:c r="B11" s="86" t="n">
        <x:v>46298</x:v>
      </x:c>
      <x:c r="C11" s="86" t="n">
        <x:v>46304</x:v>
      </x:c>
      <x:c r="D11" s="87" t="n">
        <x:v>6</x:v>
      </x:c>
      <x:c r="E11" s="88" t="str">
        <x:v>国航和南航</x:v>
      </x:c>
      <x:c r="F11" s="88" t="str">
        <x:v>09:00</x:v>
      </x:c>
      <x:c r="G11" s="88" t="str">
        <x:v>17:35</x:v>
      </x:c>
      <x:c r="H11" s="88" t="str">
        <x:v>上海浦东国际机场</x:v>
      </x:c>
      <x:c r="I11" s="88" t="str">
        <x:v>迪庆香格里拉机场</x:v>
      </x:c>
      <x:c r="J11" s="88" t="n">
        <x:v>1</x:v>
      </x:c>
      <x:c r="K11" s="88" t="str">
        <x:v>重庆市的重庆江北国际机场 / 3 小时 45 分钟</x:v>
      </x:c>
      <x:c r="L11" s="88" t="str">
        <x:v>8 小时 35 分钟</x:v>
      </x:c>
      <x:c r="M11" s="89" t="n">
        <x:v>3387</x:v>
      </x:c>
      <x:c r="N11" s="89" t="n">
        <x:v>0</x:v>
      </x:c>
      <x:c r="O11" s="89" t="n">
        <x:f>M11+N11</x:f>
        <x:v>3387</x:v>
      </x:c>
      <x:c r="P11" s="88" t="str">
        <x:f>IF(O11&lt;5000,"是","否")</x:f>
        <x:v>是</x:v>
      </x:c>
      <x:c r="Q11" s="90" t="str">
        <x:v>国内经济舱通常含20kg；出票前须按实际票价等级复核</x:v>
      </x:c>
      <x:c r="R11" s="90" t="str">
        <x:v>该去程对应的最低可订返程组合；具体返程航班需打开来源链接确认</x:v>
      </x:c>
      <x:c r="S11" s="91" t="n">
        <x:v>46267.74857527778</x:v>
      </x:c>
      <x:c r="T11" s="92" t="str">
        <x:v>https://www.google.com/travel/flights?hl=zh-CN&amp;curr=CNY&amp;q=Flights%20from%20Shanghai%20to%20DIG%20from%202026-10-03%20to%202026-10-09</x:v>
      </x:c>
      <x:c r="U11" s="136"/>
      <x:c r="V11" s="90"/>
      <x:c r="W11" s="90"/>
      <x:c r="X11" s="137"/>
      <x:c r="Y11" s="90"/>
      <x:c r="Z11" s="90"/>
      <x:c r="AA11" s="90"/>
      <x:c r="AB11" s="90"/>
      <x:c r="AC11" s="90"/>
      <x:c r="AD11" s="138"/>
      <x:c r="AE11" s="90" t="str">
        <x:v>去程当前未找到，返程待核验</x:v>
      </x:c>
      <x:c r="AF11" s="92" t="str">
        <x:v>https://www.google.com/travel/flights?hl=zh-CN&amp;curr=CNY&amp;q=Flights%20from%20Shanghai%20to%20DIG%20from%202026-10-03%20to%202026-10-09</x:v>
      </x:c>
    </x:row>
    <x:row r="12" ht="42" customHeight="1">
      <x:c r="A12" s="85" t="n">
        <x:f>ROW()-7</x:f>
        <x:v>5</x:v>
      </x:c>
      <x:c r="B12" s="86" t="n">
        <x:v>46297</x:v>
      </x:c>
      <x:c r="C12" s="86" t="n">
        <x:v>46304</x:v>
      </x:c>
      <x:c r="D12" s="87" t="n">
        <x:v>7</x:v>
      </x:c>
      <x:c r="E12" s="88" t="str">
        <x:v>东航</x:v>
      </x:c>
      <x:c r="F12" s="88" t="str">
        <x:v>21:40</x:v>
      </x:c>
      <x:c r="G12" s="88" t="str">
        <x:v>07:55 +1</x:v>
      </x:c>
      <x:c r="H12" s="88" t="str">
        <x:v>上海浦东国际机场</x:v>
      </x:c>
      <x:c r="I12" s="88" t="str">
        <x:v>迪庆香格里拉机场</x:v>
      </x:c>
      <x:c r="J12" s="88" t="n">
        <x:v>1</x:v>
      </x:c>
      <x:c r="K12" s="88" t="str">
        <x:v>昆明市的昆明长水国际机场 / 5 小时 25 分钟</x:v>
      </x:c>
      <x:c r="L12" s="88" t="str">
        <x:v>10 小时 15 分钟</x:v>
      </x:c>
      <x:c r="M12" s="89" t="n">
        <x:v>3426</x:v>
      </x:c>
      <x:c r="N12" s="89" t="n">
        <x:v>0</x:v>
      </x:c>
      <x:c r="O12" s="89" t="n">
        <x:f>M12+N12</x:f>
        <x:v>3426</x:v>
      </x:c>
      <x:c r="P12" s="88" t="str">
        <x:f>IF(O12&lt;5000,"是","否")</x:f>
        <x:v>是</x:v>
      </x:c>
      <x:c r="Q12" s="90" t="str">
        <x:v>国内经济舱通常含20kg；出票前须按实际票价等级复核</x:v>
      </x:c>
      <x:c r="R12" s="90" t="str">
        <x:v>该去程对应的最低可订返程组合；具体返程航班需打开来源链接确认</x:v>
      </x:c>
      <x:c r="S12" s="91" t="n">
        <x:v>46267.74857527778</x:v>
      </x:c>
      <x:c r="T12" s="92" t="str">
        <x:v>https://www.google.com/travel/flights?hl=zh-CN&amp;curr=CNY&amp;q=Flights%20from%20Shanghai%20to%20DIG%20from%202026-10-02%20to%202026-10-09</x:v>
      </x:c>
      <x:c r="U12" s="136"/>
      <x:c r="V12" s="90"/>
      <x:c r="W12" s="90"/>
      <x:c r="X12" s="137"/>
      <x:c r="Y12" s="90"/>
      <x:c r="Z12" s="90"/>
      <x:c r="AA12" s="90"/>
      <x:c r="AB12" s="90"/>
      <x:c r="AC12" s="90"/>
      <x:c r="AD12" s="138"/>
      <x:c r="AE12" s="90" t="str">
        <x:v>去程当前未找到，返程待核验</x:v>
      </x:c>
      <x:c r="AF12" s="92" t="str">
        <x:v>https://www.google.com/travel/flights?hl=zh-CN&amp;curr=CNY&amp;q=Flights%20from%20Shanghai%20to%20DIG%20from%202026-10-02%20to%202026-10-09</x:v>
      </x:c>
    </x:row>
    <x:row r="13" ht="42" customHeight="1">
      <x:c r="A13" s="85" t="n">
        <x:f>ROW()-7</x:f>
        <x:v>6</x:v>
      </x:c>
      <x:c r="B13" s="86" t="n">
        <x:v>46298</x:v>
      </x:c>
      <x:c r="C13" s="86" t="n">
        <x:v>46304</x:v>
      </x:c>
      <x:c r="D13" s="87" t="n">
        <x:v>6</x:v>
      </x:c>
      <x:c r="E13" s="88" t="str">
        <x:v>东航和南航</x:v>
      </x:c>
      <x:c r="F13" s="88" t="str">
        <x:v>10:55</x:v>
      </x:c>
      <x:c r="G13" s="88" t="str">
        <x:v>17:35</x:v>
      </x:c>
      <x:c r="H13" s="88" t="str">
        <x:v>上海浦东国际机场</x:v>
      </x:c>
      <x:c r="I13" s="88" t="str">
        <x:v>迪庆香格里拉机场</x:v>
      </x:c>
      <x:c r="J13" s="88" t="n">
        <x:v>1</x:v>
      </x:c>
      <x:c r="K13" s="88" t="str">
        <x:v>重庆市的重庆江北国际机场 / 1 小时 25 分钟</x:v>
      </x:c>
      <x:c r="L13" s="88" t="str">
        <x:v>6 小时 40 分钟</x:v>
      </x:c>
      <x:c r="M13" s="89" t="n">
        <x:v>3427</x:v>
      </x:c>
      <x:c r="N13" s="89" t="n">
        <x:v>0</x:v>
      </x:c>
      <x:c r="O13" s="89" t="n">
        <x:f>M13+N13</x:f>
        <x:v>3427</x:v>
      </x:c>
      <x:c r="P13" s="88" t="str">
        <x:f>IF(O13&lt;5000,"是","否")</x:f>
        <x:v>是</x:v>
      </x:c>
      <x:c r="Q13" s="90" t="str">
        <x:v>国内经济舱通常含20kg；出票前须按实际票价等级复核</x:v>
      </x:c>
      <x:c r="R13" s="90" t="str">
        <x:v>该去程对应的最低可订返程组合；具体返程航班需打开来源链接确认</x:v>
      </x:c>
      <x:c r="S13" s="91" t="n">
        <x:v>46267.74857527778</x:v>
      </x:c>
      <x:c r="T13" s="92" t="str">
        <x:v>https://www.google.com/travel/flights?hl=zh-CN&amp;curr=CNY&amp;q=Flights%20from%20Shanghai%20to%20DIG%20from%202026-10-03%20to%202026-10-09</x:v>
      </x:c>
      <x:c r="U13" s="136"/>
      <x:c r="V13" s="90"/>
      <x:c r="W13" s="90"/>
      <x:c r="X13" s="137"/>
      <x:c r="Y13" s="90"/>
      <x:c r="Z13" s="90"/>
      <x:c r="AA13" s="90"/>
      <x:c r="AB13" s="90"/>
      <x:c r="AC13" s="90"/>
      <x:c r="AD13" s="138"/>
      <x:c r="AE13" s="90" t="str">
        <x:v>去程当前未找到，返程待核验</x:v>
      </x:c>
      <x:c r="AF13" s="92" t="str">
        <x:v>https://www.google.com/travel/flights?hl=zh-CN&amp;curr=CNY&amp;q=Flights%20from%20Shanghai%20to%20DIG%20from%202026-10-03%20to%202026-10-09</x:v>
      </x:c>
    </x:row>
    <x:row r="14" ht="42" customHeight="1">
      <x:c r="A14" s="85" t="n">
        <x:f>ROW()-7</x:f>
        <x:v>7</x:v>
      </x:c>
      <x:c r="B14" s="86" t="n">
        <x:v>46297</x:v>
      </x:c>
      <x:c r="C14" s="86" t="n">
        <x:v>46304</x:v>
      </x:c>
      <x:c r="D14" s="87" t="n">
        <x:v>7</x:v>
      </x:c>
      <x:c r="E14" s="88" t="str">
        <x:v>南航</x:v>
      </x:c>
      <x:c r="F14" s="88" t="str">
        <x:v>22:05</x:v>
      </x:c>
      <x:c r="G14" s="88" t="str">
        <x:v>17:35 +1</x:v>
      </x:c>
      <x:c r="H14" s="88" t="str">
        <x:v>上海浦东国际机场</x:v>
      </x:c>
      <x:c r="I14" s="88" t="str">
        <x:v>迪庆香格里拉机场</x:v>
      </x:c>
      <x:c r="J14" s="88" t="n">
        <x:v>1</x:v>
      </x:c>
      <x:c r="K14" s="88" t="str">
        <x:v>重庆市的重庆江北国际机场 / 14 小时 40 分钟</x:v>
      </x:c>
      <x:c r="L14" s="88" t="str">
        <x:v>19 小时 30 分钟</x:v>
      </x:c>
      <x:c r="M14" s="89" t="n">
        <x:v>3511</x:v>
      </x:c>
      <x:c r="N14" s="89" t="n">
        <x:v>0</x:v>
      </x:c>
      <x:c r="O14" s="89" t="n">
        <x:f>M14+N14</x:f>
        <x:v>3511</x:v>
      </x:c>
      <x:c r="P14" s="88" t="str">
        <x:f>IF(O14&lt;5000,"是","否")</x:f>
        <x:v>是</x:v>
      </x:c>
      <x:c r="Q14" s="90" t="str">
        <x:v>国内经济舱通常含20kg；出票前须按实际票价等级复核</x:v>
      </x:c>
      <x:c r="R14" s="90" t="str">
        <x:v>该去程对应的最低可订返程组合；具体返程航班需打开来源链接确认</x:v>
      </x:c>
      <x:c r="S14" s="91" t="n">
        <x:v>46267.74857527778</x:v>
      </x:c>
      <x:c r="T14" s="92" t="str">
        <x:v>https://www.google.com/travel/flights?hl=zh-CN&amp;curr=CNY&amp;q=Flights%20from%20Shanghai%20to%20DIG%20from%202026-10-02%20to%202026-10-09</x:v>
      </x:c>
      <x:c r="U14" s="136"/>
      <x:c r="V14" s="90"/>
      <x:c r="W14" s="90"/>
      <x:c r="X14" s="137"/>
      <x:c r="Y14" s="90"/>
      <x:c r="Z14" s="90"/>
      <x:c r="AA14" s="90"/>
      <x:c r="AB14" s="90"/>
      <x:c r="AC14" s="90"/>
      <x:c r="AD14" s="138"/>
      <x:c r="AE14" s="90" t="str">
        <x:v>补抓失败：Error: CDP operation exceeded its deadline before command dispatch
waiting on click for selector internal:role=tab[name=</x:v>
      </x:c>
      <x:c r="AF14" s="92" t="str">
        <x:v>https://www.google.com/travel/flights?hl=zh-CN&amp;curr=CNY&amp;q=Flights%20from%20Shanghai%20to%20DIG%20from%202026-10-02%20to%202026-10-09</x:v>
      </x:c>
    </x:row>
    <x:row r="15" ht="42" customHeight="1">
      <x:c r="A15" s="85" t="n">
        <x:f>ROW()-7</x:f>
        <x:v>8</x:v>
      </x:c>
      <x:c r="B15" s="86" t="n">
        <x:v>46298</x:v>
      </x:c>
      <x:c r="C15" s="86" t="n">
        <x:v>46304</x:v>
      </x:c>
      <x:c r="D15" s="87" t="n">
        <x:v>6</x:v>
      </x:c>
      <x:c r="E15" s="88" t="str">
        <x:v>海航和东航</x:v>
      </x:c>
      <x:c r="F15" s="88" t="str">
        <x:v>16:30</x:v>
      </x:c>
      <x:c r="G15" s="88" t="str">
        <x:v>22:05</x:v>
      </x:c>
      <x:c r="H15" s="88" t="str">
        <x:v>上海浦东国际机场</x:v>
      </x:c>
      <x:c r="I15" s="88" t="str">
        <x:v>迪庆香格里拉机场</x:v>
      </x:c>
      <x:c r="J15" s="88" t="n">
        <x:v>1</x:v>
      </x:c>
      <x:c r="K15" s="88" t="str">
        <x:v>成都市的成都天府国际机场 / 1 小时 5 分钟</x:v>
      </x:c>
      <x:c r="L15" s="88" t="str">
        <x:v>5 小时 35 分钟</x:v>
      </x:c>
      <x:c r="M15" s="89" t="n">
        <x:v>3515</x:v>
      </x:c>
      <x:c r="N15" s="89" t="n">
        <x:v>0</x:v>
      </x:c>
      <x:c r="O15" s="89" t="n">
        <x:f>M15+N15</x:f>
        <x:v>3515</x:v>
      </x:c>
      <x:c r="P15" s="88" t="str">
        <x:f>IF(O15&lt;5000,"是","否")</x:f>
        <x:v>是</x:v>
      </x:c>
      <x:c r="Q15" s="90" t="str">
        <x:v>国内经济舱通常含20kg；出票前须按实际票价等级复核</x:v>
      </x:c>
      <x:c r="R15" s="90" t="str">
        <x:v>该去程对应的最低可订返程组合；具体返程航班需打开来源链接确认</x:v>
      </x:c>
      <x:c r="S15" s="91" t="n">
        <x:v>46267.74857527778</x:v>
      </x:c>
      <x:c r="T15" s="92" t="str">
        <x:v>https://www.google.com/travel/flights?hl=zh-CN&amp;curr=CNY&amp;q=Flights%20from%20Shanghai%20to%20DIG%20from%202026-10-03%20to%202026-10-09</x:v>
      </x:c>
      <x:c r="U15" s="136"/>
      <x:c r="V15" s="90"/>
      <x:c r="W15" s="90"/>
      <x:c r="X15" s="137"/>
      <x:c r="Y15" s="90"/>
      <x:c r="Z15" s="90"/>
      <x:c r="AA15" s="90"/>
      <x:c r="AB15" s="90"/>
      <x:c r="AC15" s="90"/>
      <x:c r="AD15" s="138"/>
      <x:c r="AE15" s="90" t="str">
        <x:v>去程当前未找到，返程待核验</x:v>
      </x:c>
      <x:c r="AF15" s="92" t="str">
        <x:v>https://www.google.com/travel/flights?hl=zh-CN&amp;curr=CNY&amp;q=Flights%20from%20Shanghai%20to%20DIG%20from%202026-10-03%20to%202026-10-09</x:v>
      </x:c>
    </x:row>
    <x:row r="16" ht="42" customHeight="1">
      <x:c r="A16" s="85" t="n">
        <x:f>ROW()-7</x:f>
        <x:v>9</x:v>
      </x:c>
      <x:c r="B16" s="86" t="n">
        <x:v>46297</x:v>
      </x:c>
      <x:c r="C16" s="86" t="n">
        <x:v>46303</x:v>
      </x:c>
      <x:c r="D16" s="87" t="n">
        <x:v>6</x:v>
      </x:c>
      <x:c r="E16" s="88" t="str">
        <x:v>南航</x:v>
      </x:c>
      <x:c r="F16" s="88" t="str">
        <x:v>22:05</x:v>
      </x:c>
      <x:c r="G16" s="88" t="str">
        <x:v>17:35 +1</x:v>
      </x:c>
      <x:c r="H16" s="88" t="str">
        <x:v>上海浦东国际机场</x:v>
      </x:c>
      <x:c r="I16" s="88" t="str">
        <x:v>迪庆香格里拉机场</x:v>
      </x:c>
      <x:c r="J16" s="88" t="n">
        <x:v>1</x:v>
      </x:c>
      <x:c r="K16" s="88" t="str">
        <x:v>重庆市的重庆江北国际机场 / 14 小时 40 分钟</x:v>
      </x:c>
      <x:c r="L16" s="88" t="str">
        <x:v>19 小时 30 分钟</x:v>
      </x:c>
      <x:c r="M16" s="89" t="n">
        <x:v>3670</x:v>
      </x:c>
      <x:c r="N16" s="89" t="n">
        <x:v>0</x:v>
      </x:c>
      <x:c r="O16" s="89" t="n">
        <x:f>M16+N16</x:f>
        <x:v>3670</x:v>
      </x:c>
      <x:c r="P16" s="88" t="str">
        <x:f>IF(O16&lt;5000,"是","否")</x:f>
        <x:v>是</x:v>
      </x:c>
      <x:c r="Q16" s="90" t="str">
        <x:v>国内经济舱通常含20kg；出票前须按实际票价等级复核</x:v>
      </x:c>
      <x:c r="R16" s="90" t="str">
        <x:v>该去程对应的最低可订返程组合；具体返程航班需打开来源链接确认</x:v>
      </x:c>
      <x:c r="S16" s="91" t="n">
        <x:v>46267.74857527778</x:v>
      </x:c>
      <x:c r="T16" s="92" t="str">
        <x:v>https://www.google.com/travel/flights?hl=zh-CN&amp;curr=CNY&amp;q=Flights%20from%20Shanghai%20to%20DIG%20from%202026-10-02%20to%202026-10-08</x:v>
      </x:c>
      <x:c r="U16" s="136"/>
      <x:c r="V16" s="90"/>
      <x:c r="W16" s="90"/>
      <x:c r="X16" s="137"/>
      <x:c r="Y16" s="90"/>
      <x:c r="Z16" s="90"/>
      <x:c r="AA16" s="90"/>
      <x:c r="AB16" s="90"/>
      <x:c r="AC16" s="90"/>
      <x:c r="AD16" s="138"/>
      <x:c r="AE16" s="90" t="str">
        <x:v>去程当前未找到，返程待核验</x:v>
      </x:c>
      <x:c r="AF16" s="92" t="str">
        <x:v>https://www.google.com/travel/flights?hl=zh-CN&amp;curr=CNY&amp;q=Flights%20from%20Shanghai%20to%20DIG%20from%202026-10-02%20to%202026-10-08</x:v>
      </x:c>
    </x:row>
    <x:row r="17" ht="42" customHeight="1">
      <x:c r="A17" s="85" t="n">
        <x:f>ROW()-7</x:f>
        <x:v>10</x:v>
      </x:c>
      <x:c r="B17" s="86" t="n">
        <x:v>46297</x:v>
      </x:c>
      <x:c r="C17" s="86" t="n">
        <x:v>46304</x:v>
      </x:c>
      <x:c r="D17" s="87" t="n">
        <x:v>7</x:v>
      </x:c>
      <x:c r="E17" s="88" t="str">
        <x:v>川航和东航</x:v>
      </x:c>
      <x:c r="F17" s="88" t="str">
        <x:v>21:35</x:v>
      </x:c>
      <x:c r="G17" s="88" t="str">
        <x:v>07:55 +1</x:v>
      </x:c>
      <x:c r="H17" s="88" t="str">
        <x:v>上海浦东国际机场</x:v>
      </x:c>
      <x:c r="I17" s="88" t="str">
        <x:v>迪庆香格里拉机场</x:v>
      </x:c>
      <x:c r="J17" s="88" t="n">
        <x:v>1</x:v>
      </x:c>
      <x:c r="K17" s="88" t="str">
        <x:v>昆明市的昆明长水国际机场 / 5 小时 50 分钟</x:v>
      </x:c>
      <x:c r="L17" s="88" t="str">
        <x:v>10 小时 20 分钟</x:v>
      </x:c>
      <x:c r="M17" s="89" t="n">
        <x:v>3671</x:v>
      </x:c>
      <x:c r="N17" s="89" t="n">
        <x:v>0</x:v>
      </x:c>
      <x:c r="O17" s="89" t="n">
        <x:f>M17+N17</x:f>
        <x:v>3671</x:v>
      </x:c>
      <x:c r="P17" s="88" t="str">
        <x:f>IF(O17&lt;5000,"是","否")</x:f>
        <x:v>是</x:v>
      </x:c>
      <x:c r="Q17" s="90" t="str">
        <x:v>国内经济舱通常含20kg；出票前须按实际票价等级复核</x:v>
      </x:c>
      <x:c r="R17" s="90" t="str">
        <x:v>该去程对应的最低可订返程组合；具体返程航班需打开来源链接确认</x:v>
      </x:c>
      <x:c r="S17" s="91" t="n">
        <x:v>46267.74857527778</x:v>
      </x:c>
      <x:c r="T17" s="92" t="str">
        <x:v>https://www.google.com/travel/flights?hl=zh-CN&amp;curr=CNY&amp;q=Flights%20from%20Shanghai%20to%20DIG%20from%202026-10-02%20to%202026-10-09</x:v>
      </x:c>
      <x:c r="U17" s="136"/>
      <x:c r="V17" s="90"/>
      <x:c r="W17" s="90"/>
      <x:c r="X17" s="137"/>
      <x:c r="Y17" s="90"/>
      <x:c r="Z17" s="90"/>
      <x:c r="AA17" s="90"/>
      <x:c r="AB17" s="90"/>
      <x:c r="AC17" s="90"/>
      <x:c r="AD17" s="138"/>
      <x:c r="AE17" s="90" t="str">
        <x:v>去程当前未找到，返程待核验</x:v>
      </x:c>
      <x:c r="AF17" s="92" t="str">
        <x:v>https://www.google.com/travel/flights?hl=zh-CN&amp;curr=CNY&amp;q=Flights%20from%20Shanghai%20to%20DIG%20from%202026-10-02%20to%202026-10-09</x:v>
      </x:c>
    </x:row>
    <x:row r="18" ht="42" customHeight="1">
      <x:c r="A18" s="85" t="n">
        <x:f>ROW()-7</x:f>
        <x:v>11</x:v>
      </x:c>
      <x:c r="B18" s="86" t="n">
        <x:v>46297</x:v>
      </x:c>
      <x:c r="C18" s="86" t="n">
        <x:v>46304</x:v>
      </x:c>
      <x:c r="D18" s="87" t="n">
        <x:v>7</x:v>
      </x:c>
      <x:c r="E18" s="88" t="str">
        <x:v>南航和东航</x:v>
      </x:c>
      <x:c r="F18" s="88" t="str">
        <x:v>14:50</x:v>
      </x:c>
      <x:c r="G18" s="88" t="str">
        <x:v>23:15</x:v>
      </x:c>
      <x:c r="H18" s="88" t="str">
        <x:v>上海浦东国际机场</x:v>
      </x:c>
      <x:c r="I18" s="88" t="str">
        <x:v>迪庆香格里拉机场</x:v>
      </x:c>
      <x:c r="J18" s="88" t="n">
        <x:v>1</x:v>
      </x:c>
      <x:c r="K18" s="88" t="str">
        <x:v>昆明市的昆明长水国际机场 / 3 小时 35 分钟</x:v>
      </x:c>
      <x:c r="L18" s="88" t="str">
        <x:v>8 小时 25 分钟</x:v>
      </x:c>
      <x:c r="M18" s="89" t="n">
        <x:v>3702</x:v>
      </x:c>
      <x:c r="N18" s="89" t="n">
        <x:v>0</x:v>
      </x:c>
      <x:c r="O18" s="89" t="n">
        <x:f>M18+N18</x:f>
        <x:v>3702</x:v>
      </x:c>
      <x:c r="P18" s="88" t="str">
        <x:f>IF(O18&lt;5000,"是","否")</x:f>
        <x:v>是</x:v>
      </x:c>
      <x:c r="Q18" s="90" t="str">
        <x:v>国内经济舱通常含20kg；出票前须按实际票价等级复核</x:v>
      </x:c>
      <x:c r="R18" s="90" t="str">
        <x:v>该去程对应的最低可订返程组合；具体返程航班需打开来源链接确认</x:v>
      </x:c>
      <x:c r="S18" s="91" t="n">
        <x:v>46267.74857527778</x:v>
      </x:c>
      <x:c r="T18" s="92" t="str">
        <x:v>https://www.google.com/travel/flights?hl=zh-CN&amp;curr=CNY&amp;q=Flights%20from%20Shanghai%20to%20DIG%20from%202026-10-02%20to%202026-10-09</x:v>
      </x:c>
      <x:c r="U18" s="136"/>
      <x:c r="V18" s="90"/>
      <x:c r="W18" s="90"/>
      <x:c r="X18" s="137"/>
      <x:c r="Y18" s="90"/>
      <x:c r="Z18" s="90"/>
      <x:c r="AA18" s="90"/>
      <x:c r="AB18" s="90"/>
      <x:c r="AC18" s="90"/>
      <x:c r="AD18" s="138"/>
      <x:c r="AE18" s="90" t="str">
        <x:v>去程当前未找到，返程待核验</x:v>
      </x:c>
      <x:c r="AF18" s="92" t="str">
        <x:v>https://www.google.com/travel/flights?hl=zh-CN&amp;curr=CNY&amp;q=Flights%20from%20Shanghai%20to%20DIG%20from%202026-10-02%20to%202026-10-09</x:v>
      </x:c>
    </x:row>
    <x:row r="19" ht="42" customHeight="1">
      <x:c r="A19" s="85" t="n">
        <x:f>ROW()-7</x:f>
        <x:v>12</x:v>
      </x:c>
      <x:c r="B19" s="86" t="n">
        <x:v>46297</x:v>
      </x:c>
      <x:c r="C19" s="86" t="n">
        <x:v>46304</x:v>
      </x:c>
      <x:c r="D19" s="87" t="n">
        <x:v>7</x:v>
      </x:c>
      <x:c r="E19" s="88" t="str">
        <x:v>春航和南航</x:v>
      </x:c>
      <x:c r="F19" s="88" t="str">
        <x:v>22:55</x:v>
      </x:c>
      <x:c r="G19" s="88" t="str">
        <x:v>17:35 +1</x:v>
      </x:c>
      <x:c r="H19" s="88" t="str">
        <x:v>上海浦东国际机场</x:v>
      </x:c>
      <x:c r="I19" s="88" t="str">
        <x:v>迪庆香格里拉机场</x:v>
      </x:c>
      <x:c r="J19" s="88" t="n">
        <x:v>1</x:v>
      </x:c>
      <x:c r="K19" s="88" t="str">
        <x:v>重庆市的重庆江北国际机场 / 13 小时 30 分钟</x:v>
      </x:c>
      <x:c r="L19" s="88" t="str">
        <x:v>18 小时 40 分钟</x:v>
      </x:c>
      <x:c r="M19" s="89" t="n">
        <x:v>3359</x:v>
      </x:c>
      <x:c r="N19" s="89" t="n">
        <x:v>350</x:v>
      </x:c>
      <x:c r="O19" s="89" t="n">
        <x:f>M19+N19</x:f>
        <x:v>3709</x:v>
      </x:c>
      <x:c r="P19" s="88" t="str">
        <x:f>IF(O19&lt;5000,"是","否")</x:f>
        <x:v>是</x:v>
      </x:c>
      <x:c r="Q19" s="90" t="str">
        <x:v>春秋低价票可能不含托运；按国内往返20kg保守预留¥350</x:v>
      </x:c>
      <x:c r="R19" s="90" t="str">
        <x:v>该去程对应的最低可订返程组合；具体返程航班需打开来源链接确认</x:v>
      </x:c>
      <x:c r="S19" s="91" t="n">
        <x:v>46267.74857527778</x:v>
      </x:c>
      <x:c r="T19" s="92" t="str">
        <x:v>https://www.google.com/travel/flights?hl=zh-CN&amp;curr=CNY&amp;q=Flights%20from%20Shanghai%20to%20DIG%20from%202026-10-02%20to%202026-10-09</x:v>
      </x:c>
      <x:c r="U19" s="136"/>
      <x:c r="V19" s="90"/>
      <x:c r="W19" s="90"/>
      <x:c r="X19" s="137"/>
      <x:c r="Y19" s="90"/>
      <x:c r="Z19" s="90"/>
      <x:c r="AA19" s="90"/>
      <x:c r="AB19" s="90"/>
      <x:c r="AC19" s="90"/>
      <x:c r="AD19" s="138"/>
      <x:c r="AE19" s="90" t="str">
        <x:v>去程当前未找到，返程待核验</x:v>
      </x:c>
      <x:c r="AF19" s="92" t="str">
        <x:v>https://www.google.com/travel/flights?hl=zh-CN&amp;curr=CNY&amp;q=Flights%20from%20Shanghai%20to%20DIG%20from%202026-10-02%20to%202026-10-09</x:v>
      </x:c>
    </x:row>
    <x:row r="20" ht="42" customHeight="1">
      <x:c r="A20" s="85" t="n">
        <x:f>ROW()-7</x:f>
        <x:v>13</x:v>
      </x:c>
      <x:c r="B20" s="86" t="n">
        <x:v>46297</x:v>
      </x:c>
      <x:c r="C20" s="86" t="n">
        <x:v>46303</x:v>
      </x:c>
      <x:c r="D20" s="87" t="n">
        <x:v>6</x:v>
      </x:c>
      <x:c r="E20" s="88" t="str">
        <x:v>东航</x:v>
      </x:c>
      <x:c r="F20" s="88" t="str">
        <x:v>21:40</x:v>
      </x:c>
      <x:c r="G20" s="88" t="str">
        <x:v>07:55 +1</x:v>
      </x:c>
      <x:c r="H20" s="88" t="str">
        <x:v>上海浦东国际机场</x:v>
      </x:c>
      <x:c r="I20" s="88" t="str">
        <x:v>迪庆香格里拉机场</x:v>
      </x:c>
      <x:c r="J20" s="88" t="n">
        <x:v>1</x:v>
      </x:c>
      <x:c r="K20" s="88" t="str">
        <x:v>昆明市的昆明长水国际机场 / 5 小时 25 分钟</x:v>
      </x:c>
      <x:c r="L20" s="88" t="str">
        <x:v>10 小时 15 分钟</x:v>
      </x:c>
      <x:c r="M20" s="89" t="n">
        <x:v>3722</x:v>
      </x:c>
      <x:c r="N20" s="89" t="n">
        <x:v>0</x:v>
      </x:c>
      <x:c r="O20" s="89" t="n">
        <x:f>M20+N20</x:f>
        <x:v>3722</x:v>
      </x:c>
      <x:c r="P20" s="88" t="str">
        <x:f>IF(O20&lt;5000,"是","否")</x:f>
        <x:v>是</x:v>
      </x:c>
      <x:c r="Q20" s="90" t="str">
        <x:v>国内经济舱通常含20kg；出票前须按实际票价等级复核</x:v>
      </x:c>
      <x:c r="R20" s="90" t="str">
        <x:v>该去程对应的最低可订返程组合；具体返程航班需打开来源链接确认</x:v>
      </x:c>
      <x:c r="S20" s="91" t="n">
        <x:v>46267.74857527778</x:v>
      </x:c>
      <x:c r="T20" s="92" t="str">
        <x:v>https://www.google.com/travel/flights?hl=zh-CN&amp;curr=CNY&amp;q=Flights%20from%20Shanghai%20to%20DIG%20from%202026-10-02%20to%202026-10-08</x:v>
      </x:c>
      <x:c r="U20" s="136"/>
      <x:c r="V20" s="90"/>
      <x:c r="W20" s="90"/>
      <x:c r="X20" s="137"/>
      <x:c r="Y20" s="90"/>
      <x:c r="Z20" s="90"/>
      <x:c r="AA20" s="90"/>
      <x:c r="AB20" s="90"/>
      <x:c r="AC20" s="90"/>
      <x:c r="AD20" s="138"/>
      <x:c r="AE20" s="90" t="str">
        <x:v>去程当前未找到，返程待核验</x:v>
      </x:c>
      <x:c r="AF20" s="92" t="str">
        <x:v>https://www.google.com/travel/flights?hl=zh-CN&amp;curr=CNY&amp;q=Flights%20from%20Shanghai%20to%20DIG%20from%202026-10-02%20to%202026-10-08</x:v>
      </x:c>
    </x:row>
    <x:row r="21" ht="42" customHeight="1">
      <x:c r="A21" s="85" t="n">
        <x:f>ROW()-7</x:f>
        <x:v>14</x:v>
      </x:c>
      <x:c r="B21" s="86" t="n">
        <x:v>46297</x:v>
      </x:c>
      <x:c r="C21" s="86" t="n">
        <x:v>46304</x:v>
      </x:c>
      <x:c r="D21" s="87" t="n">
        <x:v>7</x:v>
      </x:c>
      <x:c r="E21" s="88" t="str">
        <x:v>国航和东航</x:v>
      </x:c>
      <x:c r="F21" s="88" t="str">
        <x:v>14:55</x:v>
      </x:c>
      <x:c r="G21" s="88" t="str">
        <x:v>23:15</x:v>
      </x:c>
      <x:c r="H21" s="88" t="str">
        <x:v>上海浦东国际机场</x:v>
      </x:c>
      <x:c r="I21" s="88" t="str">
        <x:v>迪庆香格里拉机场</x:v>
      </x:c>
      <x:c r="J21" s="88" t="n">
        <x:v>1</x:v>
      </x:c>
      <x:c r="K21" s="88" t="str">
        <x:v>昆明市的昆明长水国际机场 / 3 小时 20 分钟</x:v>
      </x:c>
      <x:c r="L21" s="88" t="str">
        <x:v>8 小时 20 分钟</x:v>
      </x:c>
      <x:c r="M21" s="89" t="n">
        <x:v>3730</x:v>
      </x:c>
      <x:c r="N21" s="89" t="n">
        <x:v>0</x:v>
      </x:c>
      <x:c r="O21" s="89" t="n">
        <x:f>M21+N21</x:f>
        <x:v>3730</x:v>
      </x:c>
      <x:c r="P21" s="88" t="str">
        <x:f>IF(O21&lt;5000,"是","否")</x:f>
        <x:v>是</x:v>
      </x:c>
      <x:c r="Q21" s="90" t="str">
        <x:v>国内经济舱通常含20kg；出票前须按实际票价等级复核</x:v>
      </x:c>
      <x:c r="R21" s="90" t="str">
        <x:v>该去程对应的最低可订返程组合；具体返程航班需打开来源链接确认</x:v>
      </x:c>
      <x:c r="S21" s="91" t="n">
        <x:v>46267.74857527778</x:v>
      </x:c>
      <x:c r="T21" s="92" t="str">
        <x:v>https://www.google.com/travel/flights?hl=zh-CN&amp;curr=CNY&amp;q=Flights%20from%20Shanghai%20to%20DIG%20from%202026-10-02%20to%202026-10-09</x:v>
      </x:c>
      <x:c r="U21" s="136"/>
      <x:c r="V21" s="90"/>
      <x:c r="W21" s="90"/>
      <x:c r="X21" s="137"/>
      <x:c r="Y21" s="90"/>
      <x:c r="Z21" s="90"/>
      <x:c r="AA21" s="90"/>
      <x:c r="AB21" s="90"/>
      <x:c r="AC21" s="90"/>
      <x:c r="AD21" s="138"/>
      <x:c r="AE21" s="90" t="str">
        <x:v>去程当前未找到，返程待核验</x:v>
      </x:c>
      <x:c r="AF21" s="92" t="str">
        <x:v>https://www.google.com/travel/flights?hl=zh-CN&amp;curr=CNY&amp;q=Flights%20from%20Shanghai%20to%20DIG%20from%202026-10-02%20to%202026-10-09</x:v>
      </x:c>
    </x:row>
    <x:row r="22" ht="42" customHeight="1">
      <x:c r="A22" s="85" t="n">
        <x:f>ROW()-7</x:f>
        <x:v>15</x:v>
      </x:c>
      <x:c r="B22" s="86" t="n">
        <x:v>46298</x:v>
      </x:c>
      <x:c r="C22" s="86" t="n">
        <x:v>46304</x:v>
      </x:c>
      <x:c r="D22" s="87" t="n">
        <x:v>6</x:v>
      </x:c>
      <x:c r="E22" s="88" t="str">
        <x:v>东航</x:v>
      </x:c>
      <x:c r="F22" s="88" t="str">
        <x:v>14:40</x:v>
      </x:c>
      <x:c r="G22" s="88" t="str">
        <x:v>22:05</x:v>
      </x:c>
      <x:c r="H22" s="88" t="str">
        <x:v>上海浦东国际机场</x:v>
      </x:c>
      <x:c r="I22" s="88" t="str">
        <x:v>迪庆香格里拉机场</x:v>
      </x:c>
      <x:c r="J22" s="88" t="n">
        <x:v>1</x:v>
      </x:c>
      <x:c r="K22" s="88" t="str">
        <x:v>成都市的成都天府国际机场 / 2 小时 50 分钟</x:v>
      </x:c>
      <x:c r="L22" s="88" t="str">
        <x:v>7 小时 25 分钟</x:v>
      </x:c>
      <x:c r="M22" s="89" t="n">
        <x:v>3764</x:v>
      </x:c>
      <x:c r="N22" s="89" t="n">
        <x:v>0</x:v>
      </x:c>
      <x:c r="O22" s="89" t="n">
        <x:f>M22+N22</x:f>
        <x:v>3764</x:v>
      </x:c>
      <x:c r="P22" s="88" t="str">
        <x:f>IF(O22&lt;5000,"是","否")</x:f>
        <x:v>是</x:v>
      </x:c>
      <x:c r="Q22" s="90" t="str">
        <x:v>国内经济舱通常含20kg；出票前须按实际票价等级复核</x:v>
      </x:c>
      <x:c r="R22" s="90" t="str">
        <x:v>该去程对应的最低可订返程组合；具体返程航班需打开来源链接确认</x:v>
      </x:c>
      <x:c r="S22" s="91" t="n">
        <x:v>46267.74857527778</x:v>
      </x:c>
      <x:c r="T22" s="92" t="str">
        <x:v>https://www.google.com/travel/flights?hl=zh-CN&amp;curr=CNY&amp;q=Flights%20from%20Shanghai%20to%20DIG%20from%202026-10-03%20to%202026-10-09</x:v>
      </x:c>
      <x:c r="U22" s="136"/>
      <x:c r="V22" s="90"/>
      <x:c r="W22" s="90"/>
      <x:c r="X22" s="137"/>
      <x:c r="Y22" s="90"/>
      <x:c r="Z22" s="90"/>
      <x:c r="AA22" s="90"/>
      <x:c r="AB22" s="90"/>
      <x:c r="AC22" s="90"/>
      <x:c r="AD22" s="138"/>
      <x:c r="AE22" s="90" t="str">
        <x:v>去程当前未找到，返程待核验</x:v>
      </x:c>
      <x:c r="AF22" s="92" t="str">
        <x:v>https://www.google.com/travel/flights?hl=zh-CN&amp;curr=CNY&amp;q=Flights%20from%20Shanghai%20to%20DIG%20from%202026-10-03%20to%202026-10-09</x:v>
      </x:c>
    </x:row>
    <x:row r="23" ht="42" customHeight="1">
      <x:c r="A23" s="85" t="n">
        <x:f>ROW()-7</x:f>
        <x:v>16</x:v>
      </x:c>
      <x:c r="B23" s="86" t="n">
        <x:v>46298</x:v>
      </x:c>
      <x:c r="C23" s="86" t="n">
        <x:v>46304</x:v>
      </x:c>
      <x:c r="D23" s="87" t="n">
        <x:v>6</x:v>
      </x:c>
      <x:c r="E23" s="88" t="str">
        <x:v>国航和川航</x:v>
      </x:c>
      <x:c r="F23" s="88" t="str">
        <x:v>07:35</x:v>
      </x:c>
      <x:c r="G23" s="88" t="str">
        <x:v>14:50</x:v>
      </x:c>
      <x:c r="H23" s="88" t="str">
        <x:v>上海浦东国际机场</x:v>
      </x:c>
      <x:c r="I23" s="88" t="str">
        <x:v>迪庆香格里拉机场</x:v>
      </x:c>
      <x:c r="J23" s="88" t="n">
        <x:v>1</x:v>
      </x:c>
      <x:c r="K23" s="88" t="str">
        <x:v>成都市的成都天府国际机场 / 2 小时 40 分钟</x:v>
      </x:c>
      <x:c r="L23" s="88" t="str">
        <x:v>7 小时 15 分钟</x:v>
      </x:c>
      <x:c r="M23" s="89" t="n">
        <x:v>3781</x:v>
      </x:c>
      <x:c r="N23" s="89" t="n">
        <x:v>0</x:v>
      </x:c>
      <x:c r="O23" s="89" t="n">
        <x:f>M23+N23</x:f>
        <x:v>3781</x:v>
      </x:c>
      <x:c r="P23" s="88" t="str">
        <x:f>IF(O23&lt;5000,"是","否")</x:f>
        <x:v>是</x:v>
      </x:c>
      <x:c r="Q23" s="90" t="str">
        <x:v>国内经济舱通常含20kg；出票前须按实际票价等级复核</x:v>
      </x:c>
      <x:c r="R23" s="90" t="str">
        <x:v>该去程对应的最低可订返程组合；具体返程航班需打开来源链接确认</x:v>
      </x:c>
      <x:c r="S23" s="91" t="n">
        <x:v>46267.74857527778</x:v>
      </x:c>
      <x:c r="T23" s="92" t="str">
        <x:v>https://www.google.com/travel/flights?hl=zh-CN&amp;curr=CNY&amp;q=Flights%20from%20Shanghai%20to%20DIG%20from%202026-10-03%20to%202026-10-09</x:v>
      </x:c>
      <x:c r="U23" s="136"/>
      <x:c r="V23" s="90"/>
      <x:c r="W23" s="90"/>
      <x:c r="X23" s="137"/>
      <x:c r="Y23" s="90"/>
      <x:c r="Z23" s="90"/>
      <x:c r="AA23" s="90"/>
      <x:c r="AB23" s="90"/>
      <x:c r="AC23" s="90"/>
      <x:c r="AD23" s="138"/>
      <x:c r="AE23" s="90" t="str">
        <x:v>去程当前未找到，返程待核验</x:v>
      </x:c>
      <x:c r="AF23" s="92" t="str">
        <x:v>https://www.google.com/travel/flights?hl=zh-CN&amp;curr=CNY&amp;q=Flights%20from%20Shanghai%20to%20DIG%20from%202026-10-03%20to%202026-10-09</x:v>
      </x:c>
    </x:row>
    <x:row r="24" ht="42" customHeight="1">
      <x:c r="A24" s="85" t="n">
        <x:f>ROW()-7</x:f>
        <x:v>17</x:v>
      </x:c>
      <x:c r="B24" s="86" t="n">
        <x:v>46297</x:v>
      </x:c>
      <x:c r="C24" s="86" t="n">
        <x:v>46304</x:v>
      </x:c>
      <x:c r="D24" s="87" t="n">
        <x:v>7</x:v>
      </x:c>
      <x:c r="E24" s="88" t="str">
        <x:v>海航和东航</x:v>
      </x:c>
      <x:c r="F24" s="88" t="str">
        <x:v>16:30</x:v>
      </x:c>
      <x:c r="G24" s="88" t="str">
        <x:v>22:05</x:v>
      </x:c>
      <x:c r="H24" s="88" t="str">
        <x:v>上海浦东国际机场</x:v>
      </x:c>
      <x:c r="I24" s="88" t="str">
        <x:v>迪庆香格里拉机场</x:v>
      </x:c>
      <x:c r="J24" s="88" t="n">
        <x:v>1</x:v>
      </x:c>
      <x:c r="K24" s="88" t="str">
        <x:v>成都市的成都天府国际机场 / 1 小时 5 分钟</x:v>
      </x:c>
      <x:c r="L24" s="88" t="str">
        <x:v>5 小时 35 分钟</x:v>
      </x:c>
      <x:c r="M24" s="89" t="n">
        <x:v>3842</x:v>
      </x:c>
      <x:c r="N24" s="89" t="n">
        <x:v>0</x:v>
      </x:c>
      <x:c r="O24" s="89" t="n">
        <x:f>M24+N24</x:f>
        <x:v>3842</x:v>
      </x:c>
      <x:c r="P24" s="88" t="str">
        <x:f>IF(O24&lt;5000,"是","否")</x:f>
        <x:v>是</x:v>
      </x:c>
      <x:c r="Q24" s="90" t="str">
        <x:v>国内经济舱通常含20kg；出票前须按实际票价等级复核</x:v>
      </x:c>
      <x:c r="R24" s="90" t="str">
        <x:v>该去程对应的最低可订返程组合；具体返程航班需打开来源链接确认</x:v>
      </x:c>
      <x:c r="S24" s="91" t="n">
        <x:v>46267.74857527778</x:v>
      </x:c>
      <x:c r="T24" s="92" t="str">
        <x:v>https://www.google.com/travel/flights?hl=zh-CN&amp;curr=CNY&amp;q=Flights%20from%20Shanghai%20to%20DIG%20from%202026-10-02%20to%202026-10-09</x:v>
      </x:c>
      <x:c r="U24" s="136"/>
      <x:c r="V24" s="90"/>
      <x:c r="W24" s="90"/>
      <x:c r="X24" s="137"/>
      <x:c r="Y24" s="90"/>
      <x:c r="Z24" s="90"/>
      <x:c r="AA24" s="90"/>
      <x:c r="AB24" s="90"/>
      <x:c r="AC24" s="90"/>
      <x:c r="AD24" s="138"/>
      <x:c r="AE24" s="90" t="str">
        <x:v>去程当前未找到，返程待核验</x:v>
      </x:c>
      <x:c r="AF24" s="92" t="str">
        <x:v>https://www.google.com/travel/flights?hl=zh-CN&amp;curr=CNY&amp;q=Flights%20from%20Shanghai%20to%20DIG%20from%202026-10-02%20to%202026-10-09</x:v>
      </x:c>
    </x:row>
    <x:row r="25" ht="42" customHeight="1">
      <x:c r="A25" s="85" t="n">
        <x:f>ROW()-7</x:f>
        <x:v>18</x:v>
      </x:c>
      <x:c r="B25" s="86" t="n">
        <x:v>46297</x:v>
      </x:c>
      <x:c r="C25" s="86" t="n">
        <x:v>46303</x:v>
      </x:c>
      <x:c r="D25" s="87" t="n">
        <x:v>6</x:v>
      </x:c>
      <x:c r="E25" s="88" t="str">
        <x:v>春航和南航</x:v>
      </x:c>
      <x:c r="F25" s="88" t="str">
        <x:v>22:55</x:v>
      </x:c>
      <x:c r="G25" s="88" t="str">
        <x:v>17:35 +1</x:v>
      </x:c>
      <x:c r="H25" s="88" t="str">
        <x:v>上海浦东国际机场</x:v>
      </x:c>
      <x:c r="I25" s="88" t="str">
        <x:v>迪庆香格里拉机场</x:v>
      </x:c>
      <x:c r="J25" s="88" t="n">
        <x:v>1</x:v>
      </x:c>
      <x:c r="K25" s="88" t="str">
        <x:v>重庆市的重庆江北国际机场 / 13 小时 30 分钟</x:v>
      </x:c>
      <x:c r="L25" s="88" t="str">
        <x:v>18 小时 40 分钟</x:v>
      </x:c>
      <x:c r="M25" s="89" t="n">
        <x:v>3553</x:v>
      </x:c>
      <x:c r="N25" s="89" t="n">
        <x:v>350</x:v>
      </x:c>
      <x:c r="O25" s="89" t="n">
        <x:f>M25+N25</x:f>
        <x:v>3903</x:v>
      </x:c>
      <x:c r="P25" s="88" t="str">
        <x:f>IF(O25&lt;5000,"是","否")</x:f>
        <x:v>是</x:v>
      </x:c>
      <x:c r="Q25" s="90" t="str">
        <x:v>春秋低价票可能不含托运；按国内往返20kg保守预留¥350</x:v>
      </x:c>
      <x:c r="R25" s="90" t="str">
        <x:v>该去程对应的最低可订返程组合；具体返程航班需打开来源链接确认</x:v>
      </x:c>
      <x:c r="S25" s="91" t="n">
        <x:v>46267.74857527778</x:v>
      </x:c>
      <x:c r="T25" s="92" t="str">
        <x:v>https://www.google.com/travel/flights?hl=zh-CN&amp;curr=CNY&amp;q=Flights%20from%20Shanghai%20to%20DIG%20from%202026-10-02%20to%202026-10-08</x:v>
      </x:c>
      <x:c r="U25" s="136"/>
      <x:c r="V25" s="90"/>
      <x:c r="W25" s="90"/>
      <x:c r="X25" s="137"/>
      <x:c r="Y25" s="90"/>
      <x:c r="Z25" s="90"/>
      <x:c r="AA25" s="90"/>
      <x:c r="AB25" s="90"/>
      <x:c r="AC25" s="90"/>
      <x:c r="AD25" s="138"/>
      <x:c r="AE25" s="90" t="str">
        <x:v>去程当前未找到，返程待核验</x:v>
      </x:c>
      <x:c r="AF25" s="92" t="str">
        <x:v>https://www.google.com/travel/flights?hl=zh-CN&amp;curr=CNY&amp;q=Flights%20from%20Shanghai%20to%20DIG%20from%202026-10-02%20to%202026-10-08</x:v>
      </x:c>
    </x:row>
    <x:row r="26" ht="42" customHeight="1">
      <x:c r="A26" s="85" t="n">
        <x:f>ROW()-7</x:f>
        <x:v>19</x:v>
      </x:c>
      <x:c r="B26" s="86" t="n">
        <x:v>46297</x:v>
      </x:c>
      <x:c r="C26" s="86" t="n">
        <x:v>46303</x:v>
      </x:c>
      <x:c r="D26" s="87" t="n">
        <x:v>6</x:v>
      </x:c>
      <x:c r="E26" s="88" t="str">
        <x:v>南航和东航</x:v>
      </x:c>
      <x:c r="F26" s="88" t="str">
        <x:v>14:50</x:v>
      </x:c>
      <x:c r="G26" s="88" t="str">
        <x:v>23:15</x:v>
      </x:c>
      <x:c r="H26" s="88" t="str">
        <x:v>上海浦东国际机场</x:v>
      </x:c>
      <x:c r="I26" s="88" t="str">
        <x:v>迪庆香格里拉机场</x:v>
      </x:c>
      <x:c r="J26" s="88" t="n">
        <x:v>1</x:v>
      </x:c>
      <x:c r="K26" s="88" t="str">
        <x:v>昆明市的昆明长水国际机场 / 3 小时 35 分钟</x:v>
      </x:c>
      <x:c r="L26" s="88" t="str">
        <x:v>8 小时 25 分钟</x:v>
      </x:c>
      <x:c r="M26" s="89" t="n">
        <x:v>3998</x:v>
      </x:c>
      <x:c r="N26" s="89" t="n">
        <x:v>0</x:v>
      </x:c>
      <x:c r="O26" s="89" t="n">
        <x:f>M26+N26</x:f>
        <x:v>3998</x:v>
      </x:c>
      <x:c r="P26" s="88" t="str">
        <x:f>IF(O26&lt;5000,"是","否")</x:f>
        <x:v>是</x:v>
      </x:c>
      <x:c r="Q26" s="90" t="str">
        <x:v>国内经济舱通常含20kg；出票前须按实际票价等级复核</x:v>
      </x:c>
      <x:c r="R26" s="90" t="str">
        <x:v>该去程对应的最低可订返程组合；具体返程航班需打开来源链接确认</x:v>
      </x:c>
      <x:c r="S26" s="91" t="n">
        <x:v>46267.74857527778</x:v>
      </x:c>
      <x:c r="T26" s="92" t="str">
        <x:v>https://www.google.com/travel/flights?hl=zh-CN&amp;curr=CNY&amp;q=Flights%20from%20Shanghai%20to%20DIG%20from%202026-10-02%20to%202026-10-08</x:v>
      </x:c>
      <x:c r="U26" s="136"/>
      <x:c r="V26" s="90"/>
      <x:c r="W26" s="90"/>
      <x:c r="X26" s="137"/>
      <x:c r="Y26" s="90"/>
      <x:c r="Z26" s="90"/>
      <x:c r="AA26" s="90"/>
      <x:c r="AB26" s="90"/>
      <x:c r="AC26" s="90"/>
      <x:c r="AD26" s="138"/>
      <x:c r="AE26" s="90" t="str">
        <x:v>去程当前未找到，返程待核验</x:v>
      </x:c>
      <x:c r="AF26" s="92" t="str">
        <x:v>https://www.google.com/travel/flights?hl=zh-CN&amp;curr=CNY&amp;q=Flights%20from%20Shanghai%20to%20DIG%20from%202026-10-02%20to%202026-10-08</x:v>
      </x:c>
    </x:row>
    <x:row r="27" ht="42" customHeight="1">
      <x:c r="A27" s="85" t="n">
        <x:f>ROW()-7</x:f>
        <x:v>20</x:v>
      </x:c>
      <x:c r="B27" s="86" t="n">
        <x:v>46297</x:v>
      </x:c>
      <x:c r="C27" s="86" t="n">
        <x:v>46303</x:v>
      </x:c>
      <x:c r="D27" s="87" t="n">
        <x:v>6</x:v>
      </x:c>
      <x:c r="E27" s="88" t="str">
        <x:v>国航和东航</x:v>
      </x:c>
      <x:c r="F27" s="88" t="str">
        <x:v>14:55</x:v>
      </x:c>
      <x:c r="G27" s="88" t="str">
        <x:v>23:15</x:v>
      </x:c>
      <x:c r="H27" s="88" t="str">
        <x:v>上海浦东国际机场</x:v>
      </x:c>
      <x:c r="I27" s="88" t="str">
        <x:v>迪庆香格里拉机场</x:v>
      </x:c>
      <x:c r="J27" s="88" t="n">
        <x:v>1</x:v>
      </x:c>
      <x:c r="K27" s="88" t="str">
        <x:v>昆明市的昆明长水国际机场 / 3 小时 20 分钟</x:v>
      </x:c>
      <x:c r="L27" s="88" t="str">
        <x:v>8 小时 20 分钟</x:v>
      </x:c>
      <x:c r="M27" s="89" t="n">
        <x:v>4026</x:v>
      </x:c>
      <x:c r="N27" s="89" t="n">
        <x:v>0</x:v>
      </x:c>
      <x:c r="O27" s="89" t="n">
        <x:f>M27+N27</x:f>
        <x:v>4026</x:v>
      </x:c>
      <x:c r="P27" s="88" t="str">
        <x:f>IF(O27&lt;5000,"是","否")</x:f>
        <x:v>是</x:v>
      </x:c>
      <x:c r="Q27" s="90" t="str">
        <x:v>国内经济舱通常含20kg；出票前须按实际票价等级复核</x:v>
      </x:c>
      <x:c r="R27" s="90" t="str">
        <x:v>该去程对应的最低可订返程组合；具体返程航班需打开来源链接确认</x:v>
      </x:c>
      <x:c r="S27" s="91" t="n">
        <x:v>46267.74857527778</x:v>
      </x:c>
      <x:c r="T27" s="92" t="str">
        <x:v>https://www.google.com/travel/flights?hl=zh-CN&amp;curr=CNY&amp;q=Flights%20from%20Shanghai%20to%20DIG%20from%202026-10-02%20to%202026-10-08</x:v>
      </x:c>
      <x:c r="U27" s="136"/>
      <x:c r="V27" s="90"/>
      <x:c r="W27" s="90"/>
      <x:c r="X27" s="137"/>
      <x:c r="Y27" s="90"/>
      <x:c r="Z27" s="90"/>
      <x:c r="AA27" s="90"/>
      <x:c r="AB27" s="90"/>
      <x:c r="AC27" s="90"/>
      <x:c r="AD27" s="138"/>
      <x:c r="AE27" s="90" t="str">
        <x:v>去程当前未找到，返程待核验</x:v>
      </x:c>
      <x:c r="AF27" s="92" t="str">
        <x:v>https://www.google.com/travel/flights?hl=zh-CN&amp;curr=CNY&amp;q=Flights%20from%20Shanghai%20to%20DIG%20from%202026-10-02%20to%202026-10-08</x:v>
      </x:c>
    </x:row>
    <x:row r="28" ht="42" customHeight="1">
      <x:c r="A28" s="85" t="n">
        <x:f>ROW()-7</x:f>
        <x:v>21</x:v>
      </x:c>
      <x:c r="B28" s="86" t="n">
        <x:v>46297</x:v>
      </x:c>
      <x:c r="C28" s="86" t="n">
        <x:v>46304</x:v>
      </x:c>
      <x:c r="D28" s="87" t="n">
        <x:v>7</x:v>
      </x:c>
      <x:c r="E28" s="88" t="str">
        <x:v>春航和东航</x:v>
      </x:c>
      <x:c r="F28" s="88" t="str">
        <x:v>10:35</x:v>
      </x:c>
      <x:c r="G28" s="88" t="str">
        <x:v>19:20</x:v>
      </x:c>
      <x:c r="H28" s="88" t="str">
        <x:v>上海浦东国际机场</x:v>
      </x:c>
      <x:c r="I28" s="88" t="str">
        <x:v>迪庆香格里拉机场</x:v>
      </x:c>
      <x:c r="J28" s="88" t="n">
        <x:v>2</x:v>
      </x:c>
      <x:c r="K28" s="88" t="str">
        <x:v>黔江区的重庆黔江舟白机场 / 50 分钟</x:v>
      </x:c>
      <x:c r="L28" s="88" t="str">
        <x:v>8 小时 45 分钟</x:v>
      </x:c>
      <x:c r="M28" s="89" t="n">
        <x:v>3686</x:v>
      </x:c>
      <x:c r="N28" s="89" t="n">
        <x:v>350</x:v>
      </x:c>
      <x:c r="O28" s="89" t="n">
        <x:f>M28+N28</x:f>
        <x:v>4036</x:v>
      </x:c>
      <x:c r="P28" s="88" t="str">
        <x:f>IF(O28&lt;5000,"是","否")</x:f>
        <x:v>是</x:v>
      </x:c>
      <x:c r="Q28" s="90" t="str">
        <x:v>春秋低价票可能不含托运；按国内往返20kg保守预留¥350</x:v>
      </x:c>
      <x:c r="R28" s="90" t="str">
        <x:v>该去程对应的最低可订返程组合；具体返程航班需打开来源链接确认</x:v>
      </x:c>
      <x:c r="S28" s="91" t="n">
        <x:v>46267.74857527778</x:v>
      </x:c>
      <x:c r="T28" s="92" t="str">
        <x:v>https://www.google.com/travel/flights?hl=zh-CN&amp;curr=CNY&amp;q=Flights%20from%20Shanghai%20to%20DIG%20from%202026-10-02%20to%202026-10-09</x:v>
      </x:c>
      <x:c r="U28" s="136"/>
      <x:c r="V28" s="90"/>
      <x:c r="W28" s="90"/>
      <x:c r="X28" s="137"/>
      <x:c r="Y28" s="90"/>
      <x:c r="Z28" s="90"/>
      <x:c r="AA28" s="90"/>
      <x:c r="AB28" s="90"/>
      <x:c r="AC28" s="90"/>
      <x:c r="AD28" s="138"/>
      <x:c r="AE28" s="90" t="str">
        <x:v>去程当前未找到，返程待核验</x:v>
      </x:c>
      <x:c r="AF28" s="92" t="str">
        <x:v>https://www.google.com/travel/flights?hl=zh-CN&amp;curr=CNY&amp;q=Flights%20from%20Shanghai%20to%20DIG%20from%202026-10-02%20to%202026-10-09</x:v>
      </x:c>
    </x:row>
    <x:row r="29" ht="42" customHeight="1">
      <x:c r="A29" s="85" t="n">
        <x:f>ROW()-7</x:f>
        <x:v>22</x:v>
      </x:c>
      <x:c r="B29" s="86" t="n">
        <x:v>46297</x:v>
      </x:c>
      <x:c r="C29" s="86" t="n">
        <x:v>46303</x:v>
      </x:c>
      <x:c r="D29" s="87" t="n">
        <x:v>6</x:v>
      </x:c>
      <x:c r="E29" s="88" t="str">
        <x:v>川航和东航</x:v>
      </x:c>
      <x:c r="F29" s="88" t="str">
        <x:v>21:35</x:v>
      </x:c>
      <x:c r="G29" s="88" t="str">
        <x:v>07:55 +1</x:v>
      </x:c>
      <x:c r="H29" s="88" t="str">
        <x:v>上海浦东国际机场</x:v>
      </x:c>
      <x:c r="I29" s="88" t="str">
        <x:v>迪庆香格里拉机场</x:v>
      </x:c>
      <x:c r="J29" s="88" t="n">
        <x:v>1</x:v>
      </x:c>
      <x:c r="K29" s="88" t="str">
        <x:v>昆明市的昆明长水国际机场 / 5 小时 50 分钟</x:v>
      </x:c>
      <x:c r="L29" s="88" t="str">
        <x:v>10 小时 20 分钟</x:v>
      </x:c>
      <x:c r="M29" s="89" t="n">
        <x:v>4131</x:v>
      </x:c>
      <x:c r="N29" s="89" t="n">
        <x:v>0</x:v>
      </x:c>
      <x:c r="O29" s="89" t="n">
        <x:f>M29+N29</x:f>
        <x:v>4131</x:v>
      </x:c>
      <x:c r="P29" s="88" t="str">
        <x:f>IF(O29&lt;5000,"是","否")</x:f>
        <x:v>是</x:v>
      </x:c>
      <x:c r="Q29" s="90" t="str">
        <x:v>国内经济舱通常含20kg；出票前须按实际票价等级复核</x:v>
      </x:c>
      <x:c r="R29" s="90" t="str">
        <x:v>该去程对应的最低可订返程组合；具体返程航班需打开来源链接确认</x:v>
      </x:c>
      <x:c r="S29" s="91" t="n">
        <x:v>46267.74857527778</x:v>
      </x:c>
      <x:c r="T29" s="92" t="str">
        <x:v>https://www.google.com/travel/flights?hl=zh-CN&amp;curr=CNY&amp;q=Flights%20from%20Shanghai%20to%20DIG%20from%202026-10-02%20to%202026-10-08</x:v>
      </x:c>
      <x:c r="U29" s="136"/>
      <x:c r="V29" s="90"/>
      <x:c r="W29" s="90"/>
      <x:c r="X29" s="137"/>
      <x:c r="Y29" s="90"/>
      <x:c r="Z29" s="90"/>
      <x:c r="AA29" s="90"/>
      <x:c r="AB29" s="90"/>
      <x:c r="AC29" s="90"/>
      <x:c r="AD29" s="138"/>
      <x:c r="AE29" s="90" t="str">
        <x:v>去程当前未找到，返程待核验</x:v>
      </x:c>
      <x:c r="AF29" s="92" t="str">
        <x:v>https://www.google.com/travel/flights?hl=zh-CN&amp;curr=CNY&amp;q=Flights%20from%20Shanghai%20to%20DIG%20from%202026-10-02%20to%202026-10-08</x:v>
      </x:c>
    </x:row>
    <x:row r="30" ht="42" customHeight="1">
      <x:c r="A30" s="85" t="n">
        <x:f>ROW()-7</x:f>
        <x:v>23</x:v>
      </x:c>
      <x:c r="B30" s="86" t="n">
        <x:v>46297</x:v>
      </x:c>
      <x:c r="C30" s="86" t="n">
        <x:v>46303</x:v>
      </x:c>
      <x:c r="D30" s="87" t="n">
        <x:v>6</x:v>
      </x:c>
      <x:c r="E30" s="88" t="str">
        <x:v>海航和东航</x:v>
      </x:c>
      <x:c r="F30" s="88" t="str">
        <x:v>16:30</x:v>
      </x:c>
      <x:c r="G30" s="88" t="str">
        <x:v>22:05</x:v>
      </x:c>
      <x:c r="H30" s="88" t="str">
        <x:v>上海浦东国际机场</x:v>
      </x:c>
      <x:c r="I30" s="88" t="str">
        <x:v>迪庆香格里拉机场</x:v>
      </x:c>
      <x:c r="J30" s="88" t="n">
        <x:v>1</x:v>
      </x:c>
      <x:c r="K30" s="88" t="str">
        <x:v>成都市的成都天府国际机场 / 1 小时 5 分钟</x:v>
      </x:c>
      <x:c r="L30" s="88" t="str">
        <x:v>5 小时 35 分钟</x:v>
      </x:c>
      <x:c r="M30" s="89" t="n">
        <x:v>4139</x:v>
      </x:c>
      <x:c r="N30" s="89" t="n">
        <x:v>0</x:v>
      </x:c>
      <x:c r="O30" s="89" t="n">
        <x:f>M30+N30</x:f>
        <x:v>4139</x:v>
      </x:c>
      <x:c r="P30" s="88" t="str">
        <x:f>IF(O30&lt;5000,"是","否")</x:f>
        <x:v>是</x:v>
      </x:c>
      <x:c r="Q30" s="90" t="str">
        <x:v>国内经济舱通常含20kg；出票前须按实际票价等级复核</x:v>
      </x:c>
      <x:c r="R30" s="90" t="str">
        <x:v>该去程对应的最低可订返程组合；具体返程航班需打开来源链接确认</x:v>
      </x:c>
      <x:c r="S30" s="91" t="n">
        <x:v>46267.74857527778</x:v>
      </x:c>
      <x:c r="T30" s="92" t="str">
        <x:v>https://www.google.com/travel/flights?hl=zh-CN&amp;curr=CNY&amp;q=Flights%20from%20Shanghai%20to%20DIG%20from%202026-10-02%20to%202026-10-08</x:v>
      </x:c>
      <x:c r="U30" s="136"/>
      <x:c r="V30" s="90"/>
      <x:c r="W30" s="90"/>
      <x:c r="X30" s="137"/>
      <x:c r="Y30" s="90"/>
      <x:c r="Z30" s="90"/>
      <x:c r="AA30" s="90"/>
      <x:c r="AB30" s="90"/>
      <x:c r="AC30" s="90"/>
      <x:c r="AD30" s="138"/>
      <x:c r="AE30" s="90" t="str">
        <x:v>去程当前未找到，返程待核验</x:v>
      </x:c>
      <x:c r="AF30" s="92" t="str">
        <x:v>https://www.google.com/travel/flights?hl=zh-CN&amp;curr=CNY&amp;q=Flights%20from%20Shanghai%20to%20DIG%20from%202026-10-02%20to%202026-10-08</x:v>
      </x:c>
    </x:row>
    <x:row r="31" ht="42" customHeight="1">
      <x:c r="A31" s="85" t="n">
        <x:f>ROW()-7</x:f>
        <x:v>24</x:v>
      </x:c>
      <x:c r="B31" s="86" t="n">
        <x:v>46297</x:v>
      </x:c>
      <x:c r="C31" s="86" t="n">
        <x:v>46304</x:v>
      </x:c>
      <x:c r="D31" s="87" t="n">
        <x:v>7</x:v>
      </x:c>
      <x:c r="E31" s="88" t="str">
        <x:v>国航和南航</x:v>
      </x:c>
      <x:c r="F31" s="88" t="str">
        <x:v>09:00</x:v>
      </x:c>
      <x:c r="G31" s="88" t="str">
        <x:v>17:35</x:v>
      </x:c>
      <x:c r="H31" s="88" t="str">
        <x:v>上海浦东国际机场</x:v>
      </x:c>
      <x:c r="I31" s="88" t="str">
        <x:v>迪庆香格里拉机场</x:v>
      </x:c>
      <x:c r="J31" s="88" t="n">
        <x:v>1</x:v>
      </x:c>
      <x:c r="K31" s="88" t="str">
        <x:v>重庆市的重庆江北国际机场 / 3 小时 45 分钟</x:v>
      </x:c>
      <x:c r="L31" s="88" t="str">
        <x:v>8 小时 35 分钟</x:v>
      </x:c>
      <x:c r="M31" s="89" t="n">
        <x:v>4181</x:v>
      </x:c>
      <x:c r="N31" s="89" t="n">
        <x:v>0</x:v>
      </x:c>
      <x:c r="O31" s="89" t="n">
        <x:f>M31+N31</x:f>
        <x:v>4181</x:v>
      </x:c>
      <x:c r="P31" s="88" t="str">
        <x:f>IF(O31&lt;5000,"是","否")</x:f>
        <x:v>是</x:v>
      </x:c>
      <x:c r="Q31" s="90" t="str">
        <x:v>国内经济舱通常含20kg；出票前须按实际票价等级复核</x:v>
      </x:c>
      <x:c r="R31" s="90" t="str">
        <x:v>该去程对应的最低可订返程组合；具体返程航班需打开来源链接确认</x:v>
      </x:c>
      <x:c r="S31" s="91" t="n">
        <x:v>46267.74857527778</x:v>
      </x:c>
      <x:c r="T31" s="92" t="str">
        <x:v>https://www.google.com/travel/flights?hl=zh-CN&amp;curr=CNY&amp;q=Flights%20from%20Shanghai%20to%20DIG%20from%202026-10-02%20to%202026-10-09</x:v>
      </x:c>
      <x:c r="U31" s="136"/>
      <x:c r="V31" s="90"/>
      <x:c r="W31" s="90"/>
      <x:c r="X31" s="137"/>
      <x:c r="Y31" s="90"/>
      <x:c r="Z31" s="90"/>
      <x:c r="AA31" s="90"/>
      <x:c r="AB31" s="90"/>
      <x:c r="AC31" s="90"/>
      <x:c r="AD31" s="138"/>
      <x:c r="AE31" s="90" t="str">
        <x:v>去程当前未找到，返程待核验</x:v>
      </x:c>
      <x:c r="AF31" s="92" t="str">
        <x:v>https://www.google.com/travel/flights?hl=zh-CN&amp;curr=CNY&amp;q=Flights%20from%20Shanghai%20to%20DIG%20from%202026-10-02%20to%202026-10-09</x:v>
      </x:c>
    </x:row>
    <x:row r="32" ht="42" customHeight="1">
      <x:c r="A32" s="85" t="n">
        <x:f>ROW()-7</x:f>
        <x:v>25</x:v>
      </x:c>
      <x:c r="B32" s="86" t="n">
        <x:v>46297</x:v>
      </x:c>
      <x:c r="C32" s="86" t="n">
        <x:v>46304</x:v>
      </x:c>
      <x:c r="D32" s="87" t="n">
        <x:v>7</x:v>
      </x:c>
      <x:c r="E32" s="88" t="str">
        <x:v>东航</x:v>
      </x:c>
      <x:c r="F32" s="88" t="str">
        <x:v>14:40</x:v>
      </x:c>
      <x:c r="G32" s="88" t="str">
        <x:v>22:05</x:v>
      </x:c>
      <x:c r="H32" s="88" t="str">
        <x:v>上海浦东国际机场</x:v>
      </x:c>
      <x:c r="I32" s="88" t="str">
        <x:v>迪庆香格里拉机场</x:v>
      </x:c>
      <x:c r="J32" s="88" t="n">
        <x:v>1</x:v>
      </x:c>
      <x:c r="K32" s="88" t="str">
        <x:v>成都市的成都天府国际机场 / 2 小时 50 分钟</x:v>
      </x:c>
      <x:c r="L32" s="88" t="str">
        <x:v>7 小时 25 分钟</x:v>
      </x:c>
      <x:c r="M32" s="89" t="n">
        <x:v>4213</x:v>
      </x:c>
      <x:c r="N32" s="89" t="n">
        <x:v>0</x:v>
      </x:c>
      <x:c r="O32" s="89" t="n">
        <x:f>M32+N32</x:f>
        <x:v>4213</x:v>
      </x:c>
      <x:c r="P32" s="88" t="str">
        <x:f>IF(O32&lt;5000,"是","否")</x:f>
        <x:v>是</x:v>
      </x:c>
      <x:c r="Q32" s="90" t="str">
        <x:v>国内经济舱通常含20kg；出票前须按实际票价等级复核</x:v>
      </x:c>
      <x:c r="R32" s="90" t="str">
        <x:v>该去程对应的最低可订返程组合；具体返程航班需打开来源链接确认</x:v>
      </x:c>
      <x:c r="S32" s="91" t="n">
        <x:v>46267.74857527778</x:v>
      </x:c>
      <x:c r="T32" s="92" t="str">
        <x:v>https://www.google.com/travel/flights?hl=zh-CN&amp;curr=CNY&amp;q=Flights%20from%20Shanghai%20to%20DIG%20from%202026-10-02%20to%202026-10-09</x:v>
      </x:c>
      <x:c r="U32" s="136"/>
      <x:c r="V32" s="90"/>
      <x:c r="W32" s="90"/>
      <x:c r="X32" s="137"/>
      <x:c r="Y32" s="90"/>
      <x:c r="Z32" s="90"/>
      <x:c r="AA32" s="90"/>
      <x:c r="AB32" s="90"/>
      <x:c r="AC32" s="90"/>
      <x:c r="AD32" s="138"/>
      <x:c r="AE32" s="90" t="str">
        <x:v>去程当前未找到，返程待核验</x:v>
      </x:c>
      <x:c r="AF32" s="92" t="str">
        <x:v>https://www.google.com/travel/flights?hl=zh-CN&amp;curr=CNY&amp;q=Flights%20from%20Shanghai%20to%20DIG%20from%202026-10-02%20to%202026-10-09</x:v>
      </x:c>
    </x:row>
    <x:row r="33" ht="42" customHeight="1">
      <x:c r="A33" s="85" t="n">
        <x:f>ROW()-7</x:f>
        <x:v>26</x:v>
      </x:c>
      <x:c r="B33" s="86" t="n">
        <x:v>46297</x:v>
      </x:c>
      <x:c r="C33" s="86" t="n">
        <x:v>46303</x:v>
      </x:c>
      <x:c r="D33" s="87" t="n">
        <x:v>6</x:v>
      </x:c>
      <x:c r="E33" s="88" t="str">
        <x:v>春航和东航</x:v>
      </x:c>
      <x:c r="F33" s="88" t="str">
        <x:v>10:35</x:v>
      </x:c>
      <x:c r="G33" s="88" t="str">
        <x:v>19:20</x:v>
      </x:c>
      <x:c r="H33" s="88" t="str">
        <x:v>上海浦东国际机场</x:v>
      </x:c>
      <x:c r="I33" s="88" t="str">
        <x:v>迪庆香格里拉机场</x:v>
      </x:c>
      <x:c r="J33" s="88" t="n">
        <x:v>2</x:v>
      </x:c>
      <x:c r="K33" s="88" t="str">
        <x:v>黔江区的重庆黔江舟白机场 / 50 分钟</x:v>
      </x:c>
      <x:c r="L33" s="88" t="str">
        <x:v>8 小时 45 分钟</x:v>
      </x:c>
      <x:c r="M33" s="89" t="n">
        <x:v>3982</x:v>
      </x:c>
      <x:c r="N33" s="89" t="n">
        <x:v>350</x:v>
      </x:c>
      <x:c r="O33" s="89" t="n">
        <x:f>M33+N33</x:f>
        <x:v>4332</x:v>
      </x:c>
      <x:c r="P33" s="88" t="str">
        <x:f>IF(O33&lt;5000,"是","否")</x:f>
        <x:v>是</x:v>
      </x:c>
      <x:c r="Q33" s="90" t="str">
        <x:v>春秋低价票可能不含托运；按国内往返20kg保守预留¥350</x:v>
      </x:c>
      <x:c r="R33" s="90" t="str">
        <x:v>该去程对应的最低可订返程组合；具体返程航班需打开来源链接确认</x:v>
      </x:c>
      <x:c r="S33" s="91" t="n">
        <x:v>46267.74857527778</x:v>
      </x:c>
      <x:c r="T33" s="92" t="str">
        <x:v>https://www.google.com/travel/flights?hl=zh-CN&amp;curr=CNY&amp;q=Flights%20from%20Shanghai%20to%20DIG%20from%202026-10-02%20to%202026-10-08</x:v>
      </x:c>
      <x:c r="U33" s="136"/>
      <x:c r="V33" s="90"/>
      <x:c r="W33" s="90"/>
      <x:c r="X33" s="137"/>
      <x:c r="Y33" s="90"/>
      <x:c r="Z33" s="90"/>
      <x:c r="AA33" s="90"/>
      <x:c r="AB33" s="90"/>
      <x:c r="AC33" s="90"/>
      <x:c r="AD33" s="138"/>
      <x:c r="AE33" s="90" t="str">
        <x:v>去程当前未找到，返程待核验</x:v>
      </x:c>
      <x:c r="AF33" s="92" t="str">
        <x:v>https://www.google.com/travel/flights?hl=zh-CN&amp;curr=CNY&amp;q=Flights%20from%20Shanghai%20to%20DIG%20from%202026-10-02%20to%202026-10-08</x:v>
      </x:c>
    </x:row>
    <x:row r="34" ht="42" customHeight="1">
      <x:c r="A34" s="85" t="n">
        <x:f>ROW()-7</x:f>
        <x:v>27</x:v>
      </x:c>
      <x:c r="B34" s="86" t="n">
        <x:v>46297</x:v>
      </x:c>
      <x:c r="C34" s="86" t="n">
        <x:v>46303</x:v>
      </x:c>
      <x:c r="D34" s="87" t="n">
        <x:v>6</x:v>
      </x:c>
      <x:c r="E34" s="88" t="str">
        <x:v>国航和南航</x:v>
      </x:c>
      <x:c r="F34" s="88" t="str">
        <x:v>09:00</x:v>
      </x:c>
      <x:c r="G34" s="88" t="str">
        <x:v>17:35</x:v>
      </x:c>
      <x:c r="H34" s="88" t="str">
        <x:v>上海浦东国际机场</x:v>
      </x:c>
      <x:c r="I34" s="88" t="str">
        <x:v>迪庆香格里拉机场</x:v>
      </x:c>
      <x:c r="J34" s="88" t="n">
        <x:v>1</x:v>
      </x:c>
      <x:c r="K34" s="88" t="str">
        <x:v>重庆市的重庆江北国际机场 / 3 小时 45 分钟</x:v>
      </x:c>
      <x:c r="L34" s="88" t="str">
        <x:v>8 小时 35 分钟</x:v>
      </x:c>
      <x:c r="M34" s="89" t="n">
        <x:v>4340</x:v>
      </x:c>
      <x:c r="N34" s="89" t="n">
        <x:v>0</x:v>
      </x:c>
      <x:c r="O34" s="89" t="n">
        <x:f>M34+N34</x:f>
        <x:v>4340</x:v>
      </x:c>
      <x:c r="P34" s="88" t="str">
        <x:f>IF(O34&lt;5000,"是","否")</x:f>
        <x:v>是</x:v>
      </x:c>
      <x:c r="Q34" s="90" t="str">
        <x:v>国内经济舱通常含20kg；出票前须按实际票价等级复核</x:v>
      </x:c>
      <x:c r="R34" s="90" t="str">
        <x:v>该去程对应的最低可订返程组合；具体返程航班需打开来源链接确认</x:v>
      </x:c>
      <x:c r="S34" s="91" t="n">
        <x:v>46267.74857527778</x:v>
      </x:c>
      <x:c r="T34" s="92" t="str">
        <x:v>https://www.google.com/travel/flights?hl=zh-CN&amp;curr=CNY&amp;q=Flights%20from%20Shanghai%20to%20DIG%20from%202026-10-02%20to%202026-10-08</x:v>
      </x:c>
      <x:c r="U34" s="136"/>
      <x:c r="V34" s="90"/>
      <x:c r="W34" s="90"/>
      <x:c r="X34" s="137"/>
      <x:c r="Y34" s="90"/>
      <x:c r="Z34" s="90"/>
      <x:c r="AA34" s="90"/>
      <x:c r="AB34" s="90"/>
      <x:c r="AC34" s="90"/>
      <x:c r="AD34" s="138"/>
      <x:c r="AE34" s="90" t="str">
        <x:v>去程当前未找到，返程待核验</x:v>
      </x:c>
      <x:c r="AF34" s="92" t="str">
        <x:v>https://www.google.com/travel/flights?hl=zh-CN&amp;curr=CNY&amp;q=Flights%20from%20Shanghai%20to%20DIG%20from%202026-10-02%20to%202026-10-08</x:v>
      </x:c>
    </x:row>
    <x:row r="35" ht="42" customHeight="1">
      <x:c r="A35" s="85" t="n">
        <x:f>ROW()-7</x:f>
        <x:v>28</x:v>
      </x:c>
      <x:c r="B35" s="86" t="n">
        <x:v>46297</x:v>
      </x:c>
      <x:c r="C35" s="86" t="n">
        <x:v>46303</x:v>
      </x:c>
      <x:c r="D35" s="87" t="n">
        <x:v>6</x:v>
      </x:c>
      <x:c r="E35" s="88" t="str">
        <x:v>东航</x:v>
      </x:c>
      <x:c r="F35" s="88" t="str">
        <x:v>14:40</x:v>
      </x:c>
      <x:c r="G35" s="88" t="str">
        <x:v>22:05</x:v>
      </x:c>
      <x:c r="H35" s="88" t="str">
        <x:v>上海浦东国际机场</x:v>
      </x:c>
      <x:c r="I35" s="88" t="str">
        <x:v>迪庆香格里拉机场</x:v>
      </x:c>
      <x:c r="J35" s="88" t="n">
        <x:v>1</x:v>
      </x:c>
      <x:c r="K35" s="88" t="str">
        <x:v>成都市的成都天府国际机场 / 2 小时 50 分钟</x:v>
      </x:c>
      <x:c r="L35" s="88" t="str">
        <x:v>7 小时 25 分钟</x:v>
      </x:c>
      <x:c r="M35" s="89" t="n">
        <x:v>4372</x:v>
      </x:c>
      <x:c r="N35" s="89" t="n">
        <x:v>0</x:v>
      </x:c>
      <x:c r="O35" s="89" t="n">
        <x:f>M35+N35</x:f>
        <x:v>4372</x:v>
      </x:c>
      <x:c r="P35" s="88" t="str">
        <x:f>IF(O35&lt;5000,"是","否")</x:f>
        <x:v>是</x:v>
      </x:c>
      <x:c r="Q35" s="90" t="str">
        <x:v>国内经济舱通常含20kg；出票前须按实际票价等级复核</x:v>
      </x:c>
      <x:c r="R35" s="90" t="str">
        <x:v>该去程对应的最低可订返程组合；具体返程航班需打开来源链接确认</x:v>
      </x:c>
      <x:c r="S35" s="91" t="n">
        <x:v>46267.74857527778</x:v>
      </x:c>
      <x:c r="T35" s="92" t="str">
        <x:v>https://www.google.com/travel/flights?hl=zh-CN&amp;curr=CNY&amp;q=Flights%20from%20Shanghai%20to%20DIG%20from%202026-10-02%20to%202026-10-08</x:v>
      </x:c>
      <x:c r="U35" s="136"/>
      <x:c r="V35" s="90"/>
      <x:c r="W35" s="90"/>
      <x:c r="X35" s="137"/>
      <x:c r="Y35" s="90"/>
      <x:c r="Z35" s="90"/>
      <x:c r="AA35" s="90"/>
      <x:c r="AB35" s="90"/>
      <x:c r="AC35" s="90"/>
      <x:c r="AD35" s="138"/>
      <x:c r="AE35" s="90" t="str">
        <x:v>去程当前未找到，返程待核验</x:v>
      </x:c>
      <x:c r="AF35" s="92" t="str">
        <x:v>https://www.google.com/travel/flights?hl=zh-CN&amp;curr=CNY&amp;q=Flights%20from%20Shanghai%20to%20DIG%20from%202026-10-02%20to%202026-10-08</x:v>
      </x:c>
    </x:row>
    <x:row r="36" ht="42" customHeight="1">
      <x:c r="A36" s="93" t="n">
        <x:f>ROW()-7</x:f>
        <x:v>29</x:v>
      </x:c>
      <x:c r="B36" s="94" t="n">
        <x:v>46298</x:v>
      </x:c>
      <x:c r="C36" s="94" t="n">
        <x:v>46304</x:v>
      </x:c>
      <x:c r="D36" s="95" t="n">
        <x:v>6</x:v>
      </x:c>
      <x:c r="E36" s="96" t="str">
        <x:v>东航</x:v>
      </x:c>
      <x:c r="F36" s="96" t="str">
        <x:v>16:20</x:v>
      </x:c>
      <x:c r="G36" s="96" t="str">
        <x:v>07:55 +1</x:v>
      </x:c>
      <x:c r="H36" s="96" t="str">
        <x:v>上海浦东国际机场</x:v>
      </x:c>
      <x:c r="I36" s="96" t="str">
        <x:v>迪庆香格里拉机场</x:v>
      </x:c>
      <x:c r="J36" s="96" t="n">
        <x:v>2</x:v>
      </x:c>
      <x:c r="K36" s="96" t="str">
        <x:v>香港的香港國際機場 / 2 小时 10 分钟</x:v>
      </x:c>
      <x:c r="L36" s="96" t="str">
        <x:v>15 小时 35 分钟</x:v>
      </x:c>
      <x:c r="M36" s="97" t="n">
        <x:v>4923</x:v>
      </x:c>
      <x:c r="N36" s="97" t="n">
        <x:v>0</x:v>
      </x:c>
      <x:c r="O36" s="97" t="n">
        <x:f>M36+N36</x:f>
        <x:v>4923</x:v>
      </x:c>
      <x:c r="P36" s="96" t="str">
        <x:f>IF(O36&lt;5000,"是","否")</x:f>
        <x:v>是</x:v>
      </x:c>
      <x:c r="Q36" s="98" t="str">
        <x:v>国内经济舱通常含20kg；出票前须按实际票价等级复核</x:v>
      </x:c>
      <x:c r="R36" s="98" t="str">
        <x:v>该去程对应的最低可订返程组合；具体返程航班需打开来源链接确认</x:v>
      </x:c>
      <x:c r="S36" s="99" t="n">
        <x:v>46267.74857527778</x:v>
      </x:c>
      <x:c r="T36" s="100" t="str">
        <x:v>https://www.google.com/travel/flights?hl=zh-CN&amp;curr=CNY&amp;q=Flights%20from%20Shanghai%20to%20DIG%20from%202026-10-03%20to%202026-10-09</x:v>
      </x:c>
      <x:c r="U36" s="139"/>
      <x:c r="V36" s="98"/>
      <x:c r="W36" s="98"/>
      <x:c r="X36" s="140"/>
      <x:c r="Y36" s="98"/>
      <x:c r="Z36" s="98"/>
      <x:c r="AA36" s="98"/>
      <x:c r="AB36" s="98"/>
      <x:c r="AC36" s="98"/>
      <x:c r="AD36" s="141"/>
      <x:c r="AE36" s="98" t="str">
        <x:v>去程当前未找到，返程待核验</x:v>
      </x:c>
      <x:c r="AF36" s="100" t="str">
        <x:v>https://www.google.com/travel/flights?hl=zh-CN&amp;curr=CNY&amp;q=Flights%20from%20Shanghai%20to%20DIG%20from%202026-10-03%20to%202026-10-09</x:v>
      </x:c>
    </x:row>
  </x:sheetData>
  <x:mergeCells>
    <x:mergeCell ref="A1:AF1"/>
    <x:mergeCell ref="A2:AF2"/>
    <x:mergeCell ref="A4:AF4"/>
    <x:mergeCell ref="A5:AF5"/>
  </x:mergeCells>
  <x:conditionalFormatting sqref="O8:O36">
    <x:cfRule type="cellIs" dxfId="0" priority="1" operator="lessThanOrEqual">
      <x:formula>3500</x:formula>
    </x:cfRule>
    <x:cfRule type="cellIs" dxfId="1" priority="2" operator="greaterThanOrEqual">
      <x:formula>4500</x:formula>
    </x:cfRule>
  </x:conditionalFormatting>
  <x:conditionalFormatting sqref="AE8:AE36">
    <x:cfRule type="containsText" dxfId="8" priority="3" operator="containsText" text="匹配原始"/>
    <x:cfRule type="containsText" dxfId="9" priority="4" operator="containsText" text="价格已变化"/>
    <x:cfRule type="containsText" dxfId="10" priority="5" operator="containsText" text="无价格"/>
    <x:cfRule type="containsText" dxfId="11" priority="6" operator="containsText" text="待核验"/>
    <x:cfRule type="containsText" dxfId="12" priority="7" operator="containsText" text="失败"/>
  </x:conditionalFormatting>
  <x:pageMargins left="0.7" right="0.7" top="0.75" bottom="0.75" header="0.3" footer="0.3"/>
  <x:tableParts count="2">
    <x:tablePart xmlns:r="http://schemas.openxmlformats.org/officeDocument/2006/relationships" r:id="R2f9bad2ee89442ab"/>
    <x:tablePart xmlns:r="http://schemas.openxmlformats.org/officeDocument/2006/relationships" r:id="R234b15d862814c9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2" hidden="0" customWidth="1"/>
    <x:col min="4" max="4" width="8" hidden="0" customWidth="1"/>
    <x:col min="5" max="5" width="21" hidden="0" customWidth="1"/>
    <x:col min="6" max="6" width="10" hidden="0" customWidth="1"/>
    <x:col min="7" max="7" width="10" hidden="0" customWidth="1"/>
    <x:col min="8" max="8" width="24" hidden="0" customWidth="1"/>
    <x:col min="9" max="9" width="24" hidden="0" customWidth="1"/>
    <x:col min="10" max="10" width="8" hidden="0" customWidth="1"/>
    <x:col min="11" max="11" width="27" hidden="0" customWidth="1"/>
    <x:col min="12" max="12" width="14" hidden="0" customWidth="1"/>
    <x:col min="13" max="13" width="14" hidden="0" customWidth="1"/>
    <x:col min="14" max="14" width="14" hidden="0" customWidth="1"/>
    <x:col min="15" max="15" width="15" hidden="0" customWidth="1"/>
    <x:col min="16" max="16" width="13" hidden="0" customWidth="1"/>
    <x:col min="17" max="17" width="39" hidden="0" customWidth="1"/>
    <x:col min="18" max="18" width="42" hidden="0" customWidth="1"/>
    <x:col min="19" max="19" width="20" hidden="0" customWidth="1"/>
    <x:col min="20" max="20" width="58" hidden="0" customWidth="1"/>
    <x:col min="21" max="21" width="12" hidden="0" customWidth="1"/>
    <x:col min="22" max="22" width="10" hidden="0" customWidth="1"/>
    <x:col min="23" max="23" width="24" hidden="0" customWidth="1"/>
    <x:col min="24" max="24" width="12" hidden="0" customWidth="1"/>
    <x:col min="25" max="25" width="10" hidden="0" customWidth="1"/>
    <x:col min="26" max="26" width="24" hidden="0" customWidth="1"/>
    <x:col min="27" max="27" width="20" hidden="0" customWidth="1"/>
    <x:col min="28" max="28" width="9" hidden="0" customWidth="1"/>
    <x:col min="29" max="29" width="14" hidden="0" customWidth="1"/>
    <x:col min="30" max="30" width="14" hidden="0" customWidth="1"/>
    <x:col min="31" max="31" width="34" hidden="0" customWidth="1"/>
    <x:col min="32" max="32" width="58" hidden="0" customWidth="1"/>
  </x:cols>
  <x:sheetData>
    <x:row r="1" ht="32" customHeight="1">
      <x:c r="A1" s="101" t="str">
        <x:v>上海 → 香格里拉（DIG） TOP10</x:v>
      </x:c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  <x:c r="N1" s="101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  <x:c r="AA1" s="101"/>
      <x:c r="AB1" s="101"/>
      <x:c r="AC1" s="101"/>
      <x:c r="AD1" s="101"/>
      <x:c r="AE1" s="101"/>
      <x:c r="AF1" s="101"/>
    </x:row>
    <x:row r="2" ht="28" customHeight="1">
      <x:c r="A2" s="104" t="str">
        <x:v>TOP10 从该路线全集合并后按“含20kg估算总价”升序选取；不是按单日最低价抽样。</x:v>
      </x:c>
      <x:c r="B2" s="104"/>
      <x:c r="C2" s="104"/>
      <x:c r="D2" s="104"/>
      <x:c r="E2" s="104"/>
      <x:c r="F2" s="104"/>
      <x:c r="G2" s="104"/>
      <x:c r="H2" s="104"/>
      <x:c r="I2" s="104"/>
      <x:c r="J2" s="104"/>
      <x:c r="K2" s="104"/>
      <x:c r="L2" s="104"/>
      <x:c r="M2" s="104"/>
      <x:c r="N2" s="104"/>
      <x:c r="O2" s="104"/>
      <x:c r="P2" s="104"/>
      <x:c r="Q2" s="104"/>
      <x:c r="R2" s="104"/>
      <x:c r="S2" s="104"/>
      <x:c r="T2" s="104"/>
      <x:c r="U2" s="104"/>
      <x:c r="V2" s="104"/>
      <x:c r="W2" s="104"/>
      <x:c r="X2" s="104"/>
      <x:c r="Y2" s="104"/>
      <x:c r="Z2" s="104"/>
      <x:c r="AA2" s="104"/>
      <x:c r="AB2" s="104"/>
      <x:c r="AC2" s="104"/>
      <x:c r="AD2" s="104"/>
      <x:c r="AE2" s="104"/>
      <x:c r="AF2" s="104"/>
    </x:row>
    <x:row r="3">
      <x:c r="A3" s="68" t="str">
        <x:v>方案数</x:v>
      </x:c>
      <x:c r="B3" s="68" t="n">
        <x:f>COUNTA(A8:A17)</x:f>
        <x:v>10</x:v>
      </x:c>
      <x:c r="C3" s="68"/>
      <x:c r="D3" s="68" t="str">
        <x:v>覆盖日期组合</x:v>
      </x:c>
      <x:c r="E3" s="68" t="str">
        <x:v>3/14</x:v>
      </x:c>
      <x:c r="F3" s="68"/>
      <x:c r="G3" s="68" t="str">
        <x:v>最低含行李价</x:v>
      </x:c>
      <x:c r="H3" s="69" t="n">
        <x:f>MIN(O8:O17)</x:f>
        <x:v>2998</x:v>
      </x:c>
      <x:c r="I3" s="68"/>
      <x:c r="J3" s="68" t="str">
        <x:v>最高合格价</x:v>
      </x:c>
      <x:c r="K3" s="69" t="n">
        <x:f>MAX(O8:O17)</x:f>
        <x:v>3671</x:v>
      </x:c>
      <x:c r="L3" s="68"/>
      <x:c r="M3" s="68" t="str">
        <x:v>价格上限</x:v>
      </x:c>
      <x:c r="N3" s="69" t="n">
        <x:v>5000</x:v>
      </x:c>
      <x:c r="O3" s="68"/>
      <x:c r="P3" s="68" t="str">
        <x:v>搜索时间</x:v>
      </x:c>
      <x:c r="Q3" s="70" t="n">
        <x:v>46267.752321875</x:v>
      </x:c>
      <x:c r="R3" s="71"/>
      <x:c r="S3" s="71"/>
      <x:c r="T3" s="71"/>
    </x:row>
    <x:row r="4" ht="28" customHeight="1">
      <x:c r="A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B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C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D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E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F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G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H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I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J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K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L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M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N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O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P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Q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R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S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T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U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V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W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X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Y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Z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A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B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C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D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E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F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</x:row>
    <x:row r="5" ht="34" customHeight="1">
      <x:c r="A5" s="110" t="str">
        <x:v>行李来源：春秋航空 https://www.ch.com/News/09931f418e51475d9bdee6c598343199.html；西部航空 https://www.westair.cn/stcontent/menupage/fe61b2ec-9adb-4033-9d00-3297748aa1cc/88f48e03-163c-4dd9-9229-8be70d1ba853/71901746-da70-4e43-84bc-f2d2c01278a3。传统航司按国内经济舱通常20kg处理，差异化航司采用保守预留，出票前仍须复核。</x:v>
      </x:c>
      <x:c r="B5" s="110"/>
      <x:c r="C5" s="110"/>
      <x:c r="D5" s="110"/>
      <x:c r="E5" s="110"/>
      <x:c r="F5" s="110"/>
      <x:c r="G5" s="110"/>
      <x:c r="H5" s="110"/>
      <x:c r="I5" s="110"/>
      <x:c r="J5" s="110"/>
      <x:c r="K5" s="110"/>
      <x:c r="L5" s="110"/>
      <x:c r="M5" s="110"/>
      <x:c r="N5" s="110"/>
      <x:c r="O5" s="110"/>
      <x:c r="P5" s="110"/>
      <x:c r="Q5" s="110"/>
      <x:c r="R5" s="110"/>
      <x:c r="S5" s="110"/>
      <x:c r="T5" s="110"/>
      <x:c r="U5" s="110"/>
      <x:c r="V5" s="110"/>
      <x:c r="W5" s="110"/>
      <x:c r="X5" s="110"/>
      <x:c r="Y5" s="110"/>
      <x:c r="Z5" s="110"/>
      <x:c r="AA5" s="110"/>
      <x:c r="AB5" s="110"/>
      <x:c r="AC5" s="110"/>
      <x:c r="AD5" s="110"/>
      <x:c r="AE5" s="110"/>
      <x:c r="AF5" s="110"/>
    </x:row>
    <x:row r="6">
      <x:c r="A6" s="71"/>
      <x:c r="B6" s="71"/>
      <x:c r="C6" s="71"/>
      <x:c r="D6" s="71"/>
      <x:c r="E6" s="71"/>
      <x:c r="F6" s="71"/>
      <x:c r="G6" s="71"/>
      <x:c r="H6" s="71"/>
      <x:c r="I6" s="71"/>
      <x:c r="J6" s="71"/>
      <x:c r="K6" s="71"/>
      <x:c r="L6" s="71"/>
      <x:c r="M6" s="71"/>
      <x:c r="N6" s="71"/>
      <x:c r="O6" s="71"/>
      <x:c r="P6" s="71"/>
      <x:c r="Q6" s="71"/>
      <x:c r="R6" s="71"/>
      <x:c r="S6" s="71"/>
      <x:c r="T6" s="71"/>
    </x:row>
    <x:row r="7" ht="34" customHeight="1">
      <x:c r="A7" s="74" t="str">
        <x:v>序号</x:v>
      </x:c>
      <x:c r="B7" s="75" t="str">
        <x:v>出发日期</x:v>
      </x:c>
      <x:c r="C7" s="75" t="str">
        <x:v>返程日期</x:v>
      </x:c>
      <x:c r="D7" s="75" t="str">
        <x:v>停留天数</x:v>
      </x:c>
      <x:c r="E7" s="75" t="str">
        <x:v>航空公司</x:v>
      </x:c>
      <x:c r="F7" s="75" t="str">
        <x:v>出发时间</x:v>
      </x:c>
      <x:c r="G7" s="75" t="str">
        <x:v>到达时间</x:v>
      </x:c>
      <x:c r="H7" s="75" t="str">
        <x:v>出发机场</x:v>
      </x:c>
      <x:c r="I7" s="75" t="str">
        <x:v>到达机场</x:v>
      </x:c>
      <x:c r="J7" s="75" t="str">
        <x:v>经停次数</x:v>
      </x:c>
      <x:c r="K7" s="75" t="str">
        <x:v>中转信息</x:v>
      </x:c>
      <x:c r="L7" s="75" t="str">
        <x:v>去程时长</x:v>
      </x:c>
      <x:c r="M7" s="75" t="str">
        <x:v>Google往返起价</x:v>
      </x:c>
      <x:c r="N7" s="75" t="str">
        <x:v>20kg行李估算</x:v>
      </x:c>
      <x:c r="O7" s="75" t="str">
        <x:v>含20kg估算总价</x:v>
      </x:c>
      <x:c r="P7" s="75" t="str">
        <x:v>严格低于¥5,000</x:v>
      </x:c>
      <x:c r="Q7" s="75" t="str">
        <x:v>行李口径</x:v>
      </x:c>
      <x:c r="R7" s="75" t="str">
        <x:v>返程说明</x:v>
      </x:c>
      <x:c r="S7" s="75" t="str">
        <x:v>搜索时间</x:v>
      </x:c>
      <x:c r="T7" s="76" t="str">
        <x:v>来源URL</x:v>
      </x:c>
      <x:c r="U7" s="124" t="str">
        <x:v>返程出发日期</x:v>
      </x:c>
      <x:c r="V7" s="125" t="str">
        <x:v>返程起飞时间</x:v>
      </x:c>
      <x:c r="W7" s="125" t="str">
        <x:v>返程出发机场</x:v>
      </x:c>
      <x:c r="X7" s="125" t="str">
        <x:v>返程到达日期</x:v>
      </x:c>
      <x:c r="Y7" s="125" t="str">
        <x:v>返程到达时间</x:v>
      </x:c>
      <x:c r="Z7" s="125" t="str">
        <x:v>返程到达机场</x:v>
      </x:c>
      <x:c r="AA7" s="125" t="str">
        <x:v>返程航空公司</x:v>
      </x:c>
      <x:c r="AB7" s="125" t="str">
        <x:v>返程经停次数</x:v>
      </x:c>
      <x:c r="AC7" s="125" t="str">
        <x:v>返程时长</x:v>
      </x:c>
      <x:c r="AD7" s="125" t="str">
        <x:v>当前返程总价</x:v>
      </x:c>
      <x:c r="AE7" s="125" t="str">
        <x:v>返程匹配状态</x:v>
      </x:c>
      <x:c r="AF7" s="126" t="str">
        <x:v>返程来源URL</x:v>
      </x:c>
    </x:row>
    <x:row r="8" ht="42" customHeight="1">
      <x:c r="A8" s="77" t="n">
        <x:f>ROW()-7</x:f>
        <x:v>1</x:v>
      </x:c>
      <x:c r="B8" s="78" t="n">
        <x:v>46298</x:v>
      </x:c>
      <x:c r="C8" s="78" t="n">
        <x:v>46304</x:v>
      </x:c>
      <x:c r="D8" s="79" t="n">
        <x:v>6</x:v>
      </x:c>
      <x:c r="E8" s="80" t="str">
        <x:v>东航</x:v>
      </x:c>
      <x:c r="F8" s="80" t="str">
        <x:v>21:40</x:v>
      </x:c>
      <x:c r="G8" s="80" t="str">
        <x:v>07:55 +1</x:v>
      </x:c>
      <x:c r="H8" s="80" t="str">
        <x:v>上海浦东国际机场</x:v>
      </x:c>
      <x:c r="I8" s="80" t="str">
        <x:v>迪庆香格里拉机场</x:v>
      </x:c>
      <x:c r="J8" s="80" t="n">
        <x:v>1</x:v>
      </x:c>
      <x:c r="K8" s="80" t="str">
        <x:v>昆明市的昆明长水国际机场 / 5 小时 25 分钟</x:v>
      </x:c>
      <x:c r="L8" s="80" t="str">
        <x:v>10 小时 15 分钟</x:v>
      </x:c>
      <x:c r="M8" s="81" t="n">
        <x:v>2998</x:v>
      </x:c>
      <x:c r="N8" s="81" t="n">
        <x:v>0</x:v>
      </x:c>
      <x:c r="O8" s="81" t="n">
        <x:f>M8+N8</x:f>
        <x:v>2998</x:v>
      </x:c>
      <x:c r="P8" s="80" t="str">
        <x:f>IF(O8&lt;5000,"是","否")</x:f>
        <x:v>是</x:v>
      </x:c>
      <x:c r="Q8" s="82" t="str">
        <x:v>国内经济舱通常含20kg；出票前须按实际票价等级复核</x:v>
      </x:c>
      <x:c r="R8" s="82" t="str">
        <x:v>该去程对应的最低可订返程组合；具体返程航班需打开来源链接确认</x:v>
      </x:c>
      <x:c r="S8" s="83" t="n">
        <x:v>46267.74857527778</x:v>
      </x:c>
      <x:c r="T8" s="84" t="str">
        <x:v>https://www.google.com/travel/flights?hl=zh-CN&amp;curr=CNY&amp;q=Flights%20from%20Shanghai%20to%20DIG%20from%202026-10-03%20to%202026-10-09</x:v>
      </x:c>
      <x:c r="U8" s="133"/>
      <x:c r="V8" s="82"/>
      <x:c r="W8" s="82"/>
      <x:c r="X8" s="134"/>
      <x:c r="Y8" s="82"/>
      <x:c r="Z8" s="82"/>
      <x:c r="AA8" s="82"/>
      <x:c r="AB8" s="82"/>
      <x:c r="AC8" s="82"/>
      <x:c r="AD8" s="135"/>
      <x:c r="AE8" s="82" t="str">
        <x:v>去程当前未找到，返程待核验</x:v>
      </x:c>
      <x:c r="AF8" s="84" t="str">
        <x:v>https://www.google.com/travel/flights?hl=zh-CN&amp;curr=CNY&amp;q=Flights%20from%20Shanghai%20to%20DIG%20from%202026-10-03%20to%202026-10-09</x:v>
      </x:c>
    </x:row>
    <x:row r="9" ht="42" customHeight="1">
      <x:c r="A9" s="85" t="n">
        <x:f>ROW()-7</x:f>
        <x:v>2</x:v>
      </x:c>
      <x:c r="B9" s="86" t="n">
        <x:v>46298</x:v>
      </x:c>
      <x:c r="C9" s="86" t="n">
        <x:v>46304</x:v>
      </x:c>
      <x:c r="D9" s="87" t="n">
        <x:v>6</x:v>
      </x:c>
      <x:c r="E9" s="88" t="str">
        <x:v>东航</x:v>
      </x:c>
      <x:c r="F9" s="88" t="str">
        <x:v>22:25</x:v>
      </x:c>
      <x:c r="G9" s="88" t="str">
        <x:v>12:20 +1</x:v>
      </x:c>
      <x:c r="H9" s="88" t="str">
        <x:v>上海浦东国际机场</x:v>
      </x:c>
      <x:c r="I9" s="88" t="str">
        <x:v>迪庆香格里拉机场</x:v>
      </x:c>
      <x:c r="J9" s="88" t="n">
        <x:v>1</x:v>
      </x:c>
      <x:c r="K9" s="88" t="str">
        <x:v>广州市的广州白云国际机场 / 8 小时 10 分钟</x:v>
      </x:c>
      <x:c r="L9" s="88" t="str">
        <x:v>13 小时 55 分钟</x:v>
      </x:c>
      <x:c r="M9" s="89" t="n">
        <x:v>3285</x:v>
      </x:c>
      <x:c r="N9" s="89" t="n">
        <x:v>0</x:v>
      </x:c>
      <x:c r="O9" s="89" t="n">
        <x:f>M9+N9</x:f>
        <x:v>3285</x:v>
      </x:c>
      <x:c r="P9" s="88" t="str">
        <x:f>IF(O9&lt;5000,"是","否")</x:f>
        <x:v>是</x:v>
      </x:c>
      <x:c r="Q9" s="90" t="str">
        <x:v>国内经济舱通常含20kg；出票前须按实际票价等级复核</x:v>
      </x:c>
      <x:c r="R9" s="90" t="str">
        <x:v>该去程对应的最低可订返程组合；具体返程航班需打开来源链接确认</x:v>
      </x:c>
      <x:c r="S9" s="91" t="n">
        <x:v>46267.74857527778</x:v>
      </x:c>
      <x:c r="T9" s="92" t="str">
        <x:v>https://www.google.com/travel/flights?hl=zh-CN&amp;curr=CNY&amp;q=Flights%20from%20Shanghai%20to%20DIG%20from%202026-10-03%20to%202026-10-09</x:v>
      </x:c>
      <x:c r="U9" s="136"/>
      <x:c r="V9" s="90"/>
      <x:c r="W9" s="90"/>
      <x:c r="X9" s="137"/>
      <x:c r="Y9" s="90"/>
      <x:c r="Z9" s="90"/>
      <x:c r="AA9" s="90"/>
      <x:c r="AB9" s="90"/>
      <x:c r="AC9" s="90"/>
      <x:c r="AD9" s="138"/>
      <x:c r="AE9" s="90" t="str">
        <x:v>去程当前未找到，返程待核验</x:v>
      </x:c>
      <x:c r="AF9" s="92" t="str">
        <x:v>https://www.google.com/travel/flights?hl=zh-CN&amp;curr=CNY&amp;q=Flights%20from%20Shanghai%20to%20DIG%20from%202026-10-03%20to%202026-10-09</x:v>
      </x:c>
    </x:row>
    <x:row r="10" ht="42" customHeight="1">
      <x:c r="A10" s="85" t="n">
        <x:f>ROW()-7</x:f>
        <x:v>3</x:v>
      </x:c>
      <x:c r="B10" s="86" t="n">
        <x:v>46298</x:v>
      </x:c>
      <x:c r="C10" s="86" t="n">
        <x:v>46304</x:v>
      </x:c>
      <x:c r="D10" s="87" t="n">
        <x:v>6</x:v>
      </x:c>
      <x:c r="E10" s="88" t="str">
        <x:v>国航和东航</x:v>
      </x:c>
      <x:c r="F10" s="88" t="str">
        <x:v>14:55</x:v>
      </x:c>
      <x:c r="G10" s="88" t="str">
        <x:v>23:15</x:v>
      </x:c>
      <x:c r="H10" s="88" t="str">
        <x:v>上海浦东国际机场</x:v>
      </x:c>
      <x:c r="I10" s="88" t="str">
        <x:v>迪庆香格里拉机场</x:v>
      </x:c>
      <x:c r="J10" s="88" t="n">
        <x:v>1</x:v>
      </x:c>
      <x:c r="K10" s="88" t="str">
        <x:v>昆明市的昆明长水国际机场 / 3 小时 25 分钟</x:v>
      </x:c>
      <x:c r="L10" s="88" t="str">
        <x:v>8 小时 20 分钟</x:v>
      </x:c>
      <x:c r="M10" s="89" t="n">
        <x:v>3291</x:v>
      </x:c>
      <x:c r="N10" s="89" t="n">
        <x:v>0</x:v>
      </x:c>
      <x:c r="O10" s="89" t="n">
        <x:f>M10+N10</x:f>
        <x:v>3291</x:v>
      </x:c>
      <x:c r="P10" s="88" t="str">
        <x:f>IF(O10&lt;5000,"是","否")</x:f>
        <x:v>是</x:v>
      </x:c>
      <x:c r="Q10" s="90" t="str">
        <x:v>国内经济舱通常含20kg；出票前须按实际票价等级复核</x:v>
      </x:c>
      <x:c r="R10" s="90" t="str">
        <x:v>该去程对应的最低可订返程组合；具体返程航班需打开来源链接确认</x:v>
      </x:c>
      <x:c r="S10" s="91" t="n">
        <x:v>46267.74857527778</x:v>
      </x:c>
      <x:c r="T10" s="92" t="str">
        <x:v>https://www.google.com/travel/flights?hl=zh-CN&amp;curr=CNY&amp;q=Flights%20from%20Shanghai%20to%20DIG%20from%202026-10-03%20to%202026-10-09</x:v>
      </x:c>
      <x:c r="U10" s="136"/>
      <x:c r="V10" s="90"/>
      <x:c r="W10" s="90"/>
      <x:c r="X10" s="137"/>
      <x:c r="Y10" s="90"/>
      <x:c r="Z10" s="90"/>
      <x:c r="AA10" s="90"/>
      <x:c r="AB10" s="90"/>
      <x:c r="AC10" s="90"/>
      <x:c r="AD10" s="138"/>
      <x:c r="AE10" s="90" t="str">
        <x:v>去程当前未找到，返程待核验</x:v>
      </x:c>
      <x:c r="AF10" s="92" t="str">
        <x:v>https://www.google.com/travel/flights?hl=zh-CN&amp;curr=CNY&amp;q=Flights%20from%20Shanghai%20to%20DIG%20from%202026-10-03%20to%202026-10-09</x:v>
      </x:c>
    </x:row>
    <x:row r="11" ht="42" customHeight="1">
      <x:c r="A11" s="85" t="n">
        <x:f>ROW()-7</x:f>
        <x:v>4</x:v>
      </x:c>
      <x:c r="B11" s="86" t="n">
        <x:v>46298</x:v>
      </x:c>
      <x:c r="C11" s="86" t="n">
        <x:v>46304</x:v>
      </x:c>
      <x:c r="D11" s="87" t="n">
        <x:v>6</x:v>
      </x:c>
      <x:c r="E11" s="88" t="str">
        <x:v>国航和南航</x:v>
      </x:c>
      <x:c r="F11" s="88" t="str">
        <x:v>09:00</x:v>
      </x:c>
      <x:c r="G11" s="88" t="str">
        <x:v>17:35</x:v>
      </x:c>
      <x:c r="H11" s="88" t="str">
        <x:v>上海浦东国际机场</x:v>
      </x:c>
      <x:c r="I11" s="88" t="str">
        <x:v>迪庆香格里拉机场</x:v>
      </x:c>
      <x:c r="J11" s="88" t="n">
        <x:v>1</x:v>
      </x:c>
      <x:c r="K11" s="88" t="str">
        <x:v>重庆市的重庆江北国际机场 / 3 小时 45 分钟</x:v>
      </x:c>
      <x:c r="L11" s="88" t="str">
        <x:v>8 小时 35 分钟</x:v>
      </x:c>
      <x:c r="M11" s="89" t="n">
        <x:v>3387</x:v>
      </x:c>
      <x:c r="N11" s="89" t="n">
        <x:v>0</x:v>
      </x:c>
      <x:c r="O11" s="89" t="n">
        <x:f>M11+N11</x:f>
        <x:v>3387</x:v>
      </x:c>
      <x:c r="P11" s="88" t="str">
        <x:f>IF(O11&lt;5000,"是","否")</x:f>
        <x:v>是</x:v>
      </x:c>
      <x:c r="Q11" s="90" t="str">
        <x:v>国内经济舱通常含20kg；出票前须按实际票价等级复核</x:v>
      </x:c>
      <x:c r="R11" s="90" t="str">
        <x:v>该去程对应的最低可订返程组合；具体返程航班需打开来源链接确认</x:v>
      </x:c>
      <x:c r="S11" s="91" t="n">
        <x:v>46267.74857527778</x:v>
      </x:c>
      <x:c r="T11" s="92" t="str">
        <x:v>https://www.google.com/travel/flights?hl=zh-CN&amp;curr=CNY&amp;q=Flights%20from%20Shanghai%20to%20DIG%20from%202026-10-03%20to%202026-10-09</x:v>
      </x:c>
      <x:c r="U11" s="136"/>
      <x:c r="V11" s="90"/>
      <x:c r="W11" s="90"/>
      <x:c r="X11" s="137"/>
      <x:c r="Y11" s="90"/>
      <x:c r="Z11" s="90"/>
      <x:c r="AA11" s="90"/>
      <x:c r="AB11" s="90"/>
      <x:c r="AC11" s="90"/>
      <x:c r="AD11" s="138"/>
      <x:c r="AE11" s="90" t="str">
        <x:v>去程当前未找到，返程待核验</x:v>
      </x:c>
      <x:c r="AF11" s="92" t="str">
        <x:v>https://www.google.com/travel/flights?hl=zh-CN&amp;curr=CNY&amp;q=Flights%20from%20Shanghai%20to%20DIG%20from%202026-10-03%20to%202026-10-09</x:v>
      </x:c>
    </x:row>
    <x:row r="12" ht="42" customHeight="1">
      <x:c r="A12" s="85" t="n">
        <x:f>ROW()-7</x:f>
        <x:v>5</x:v>
      </x:c>
      <x:c r="B12" s="86" t="n">
        <x:v>46297</x:v>
      </x:c>
      <x:c r="C12" s="86" t="n">
        <x:v>46304</x:v>
      </x:c>
      <x:c r="D12" s="87" t="n">
        <x:v>7</x:v>
      </x:c>
      <x:c r="E12" s="88" t="str">
        <x:v>东航</x:v>
      </x:c>
      <x:c r="F12" s="88" t="str">
        <x:v>21:40</x:v>
      </x:c>
      <x:c r="G12" s="88" t="str">
        <x:v>07:55 +1</x:v>
      </x:c>
      <x:c r="H12" s="88" t="str">
        <x:v>上海浦东国际机场</x:v>
      </x:c>
      <x:c r="I12" s="88" t="str">
        <x:v>迪庆香格里拉机场</x:v>
      </x:c>
      <x:c r="J12" s="88" t="n">
        <x:v>1</x:v>
      </x:c>
      <x:c r="K12" s="88" t="str">
        <x:v>昆明市的昆明长水国际机场 / 5 小时 25 分钟</x:v>
      </x:c>
      <x:c r="L12" s="88" t="str">
        <x:v>10 小时 15 分钟</x:v>
      </x:c>
      <x:c r="M12" s="89" t="n">
        <x:v>3426</x:v>
      </x:c>
      <x:c r="N12" s="89" t="n">
        <x:v>0</x:v>
      </x:c>
      <x:c r="O12" s="89" t="n">
        <x:f>M12+N12</x:f>
        <x:v>3426</x:v>
      </x:c>
      <x:c r="P12" s="88" t="str">
        <x:f>IF(O12&lt;5000,"是","否")</x:f>
        <x:v>是</x:v>
      </x:c>
      <x:c r="Q12" s="90" t="str">
        <x:v>国内经济舱通常含20kg；出票前须按实际票价等级复核</x:v>
      </x:c>
      <x:c r="R12" s="90" t="str">
        <x:v>该去程对应的最低可订返程组合；具体返程航班需打开来源链接确认</x:v>
      </x:c>
      <x:c r="S12" s="91" t="n">
        <x:v>46267.74857527778</x:v>
      </x:c>
      <x:c r="T12" s="92" t="str">
        <x:v>https://www.google.com/travel/flights?hl=zh-CN&amp;curr=CNY&amp;q=Flights%20from%20Shanghai%20to%20DIG%20from%202026-10-02%20to%202026-10-09</x:v>
      </x:c>
      <x:c r="U12" s="136"/>
      <x:c r="V12" s="90"/>
      <x:c r="W12" s="90"/>
      <x:c r="X12" s="137"/>
      <x:c r="Y12" s="90"/>
      <x:c r="Z12" s="90"/>
      <x:c r="AA12" s="90"/>
      <x:c r="AB12" s="90"/>
      <x:c r="AC12" s="90"/>
      <x:c r="AD12" s="138"/>
      <x:c r="AE12" s="90" t="str">
        <x:v>去程当前未找到，返程待核验</x:v>
      </x:c>
      <x:c r="AF12" s="92" t="str">
        <x:v>https://www.google.com/travel/flights?hl=zh-CN&amp;curr=CNY&amp;q=Flights%20from%20Shanghai%20to%20DIG%20from%202026-10-02%20to%202026-10-09</x:v>
      </x:c>
    </x:row>
    <x:row r="13" ht="42" customHeight="1">
      <x:c r="A13" s="85" t="n">
        <x:f>ROW()-7</x:f>
        <x:v>6</x:v>
      </x:c>
      <x:c r="B13" s="86" t="n">
        <x:v>46298</x:v>
      </x:c>
      <x:c r="C13" s="86" t="n">
        <x:v>46304</x:v>
      </x:c>
      <x:c r="D13" s="87" t="n">
        <x:v>6</x:v>
      </x:c>
      <x:c r="E13" s="88" t="str">
        <x:v>东航和南航</x:v>
      </x:c>
      <x:c r="F13" s="88" t="str">
        <x:v>10:55</x:v>
      </x:c>
      <x:c r="G13" s="88" t="str">
        <x:v>17:35</x:v>
      </x:c>
      <x:c r="H13" s="88" t="str">
        <x:v>上海浦东国际机场</x:v>
      </x:c>
      <x:c r="I13" s="88" t="str">
        <x:v>迪庆香格里拉机场</x:v>
      </x:c>
      <x:c r="J13" s="88" t="n">
        <x:v>1</x:v>
      </x:c>
      <x:c r="K13" s="88" t="str">
        <x:v>重庆市的重庆江北国际机场 / 1 小时 25 分钟</x:v>
      </x:c>
      <x:c r="L13" s="88" t="str">
        <x:v>6 小时 40 分钟</x:v>
      </x:c>
      <x:c r="M13" s="89" t="n">
        <x:v>3427</x:v>
      </x:c>
      <x:c r="N13" s="89" t="n">
        <x:v>0</x:v>
      </x:c>
      <x:c r="O13" s="89" t="n">
        <x:f>M13+N13</x:f>
        <x:v>3427</x:v>
      </x:c>
      <x:c r="P13" s="88" t="str">
        <x:f>IF(O13&lt;5000,"是","否")</x:f>
        <x:v>是</x:v>
      </x:c>
      <x:c r="Q13" s="90" t="str">
        <x:v>国内经济舱通常含20kg；出票前须按实际票价等级复核</x:v>
      </x:c>
      <x:c r="R13" s="90" t="str">
        <x:v>该去程对应的最低可订返程组合；具体返程航班需打开来源链接确认</x:v>
      </x:c>
      <x:c r="S13" s="91" t="n">
        <x:v>46267.74857527778</x:v>
      </x:c>
      <x:c r="T13" s="92" t="str">
        <x:v>https://www.google.com/travel/flights?hl=zh-CN&amp;curr=CNY&amp;q=Flights%20from%20Shanghai%20to%20DIG%20from%202026-10-03%20to%202026-10-09</x:v>
      </x:c>
      <x:c r="U13" s="136"/>
      <x:c r="V13" s="90"/>
      <x:c r="W13" s="90"/>
      <x:c r="X13" s="137"/>
      <x:c r="Y13" s="90"/>
      <x:c r="Z13" s="90"/>
      <x:c r="AA13" s="90"/>
      <x:c r="AB13" s="90"/>
      <x:c r="AC13" s="90"/>
      <x:c r="AD13" s="138"/>
      <x:c r="AE13" s="90" t="str">
        <x:v>去程当前未找到，返程待核验</x:v>
      </x:c>
      <x:c r="AF13" s="92" t="str">
        <x:v>https://www.google.com/travel/flights?hl=zh-CN&amp;curr=CNY&amp;q=Flights%20from%20Shanghai%20to%20DIG%20from%202026-10-03%20to%202026-10-09</x:v>
      </x:c>
    </x:row>
    <x:row r="14" ht="42" customHeight="1">
      <x:c r="A14" s="85" t="n">
        <x:f>ROW()-7</x:f>
        <x:v>7</x:v>
      </x:c>
      <x:c r="B14" s="86" t="n">
        <x:v>46297</x:v>
      </x:c>
      <x:c r="C14" s="86" t="n">
        <x:v>46304</x:v>
      </x:c>
      <x:c r="D14" s="87" t="n">
        <x:v>7</x:v>
      </x:c>
      <x:c r="E14" s="88" t="str">
        <x:v>南航</x:v>
      </x:c>
      <x:c r="F14" s="88" t="str">
        <x:v>22:05</x:v>
      </x:c>
      <x:c r="G14" s="88" t="str">
        <x:v>17:35 +1</x:v>
      </x:c>
      <x:c r="H14" s="88" t="str">
        <x:v>上海浦东国际机场</x:v>
      </x:c>
      <x:c r="I14" s="88" t="str">
        <x:v>迪庆香格里拉机场</x:v>
      </x:c>
      <x:c r="J14" s="88" t="n">
        <x:v>1</x:v>
      </x:c>
      <x:c r="K14" s="88" t="str">
        <x:v>重庆市的重庆江北国际机场 / 14 小时 40 分钟</x:v>
      </x:c>
      <x:c r="L14" s="88" t="str">
        <x:v>19 小时 30 分钟</x:v>
      </x:c>
      <x:c r="M14" s="89" t="n">
        <x:v>3511</x:v>
      </x:c>
      <x:c r="N14" s="89" t="n">
        <x:v>0</x:v>
      </x:c>
      <x:c r="O14" s="89" t="n">
        <x:f>M14+N14</x:f>
        <x:v>3511</x:v>
      </x:c>
      <x:c r="P14" s="88" t="str">
        <x:f>IF(O14&lt;5000,"是","否")</x:f>
        <x:v>是</x:v>
      </x:c>
      <x:c r="Q14" s="90" t="str">
        <x:v>国内经济舱通常含20kg；出票前须按实际票价等级复核</x:v>
      </x:c>
      <x:c r="R14" s="90" t="str">
        <x:v>该去程对应的最低可订返程组合；具体返程航班需打开来源链接确认</x:v>
      </x:c>
      <x:c r="S14" s="91" t="n">
        <x:v>46267.74857527778</x:v>
      </x:c>
      <x:c r="T14" s="92" t="str">
        <x:v>https://www.google.com/travel/flights?hl=zh-CN&amp;curr=CNY&amp;q=Flights%20from%20Shanghai%20to%20DIG%20from%202026-10-02%20to%202026-10-09</x:v>
      </x:c>
      <x:c r="U14" s="136"/>
      <x:c r="V14" s="90"/>
      <x:c r="W14" s="90"/>
      <x:c r="X14" s="137"/>
      <x:c r="Y14" s="90"/>
      <x:c r="Z14" s="90"/>
      <x:c r="AA14" s="90"/>
      <x:c r="AB14" s="90"/>
      <x:c r="AC14" s="90"/>
      <x:c r="AD14" s="138"/>
      <x:c r="AE14" s="90" t="str">
        <x:v>补抓失败：Error: CDP operation exceeded its deadline before command dispatch
waiting on click for selector internal:role=tab[name=</x:v>
      </x:c>
      <x:c r="AF14" s="92" t="str">
        <x:v>https://www.google.com/travel/flights?hl=zh-CN&amp;curr=CNY&amp;q=Flights%20from%20Shanghai%20to%20DIG%20from%202026-10-02%20to%202026-10-09</x:v>
      </x:c>
    </x:row>
    <x:row r="15" ht="42" customHeight="1">
      <x:c r="A15" s="85" t="n">
        <x:f>ROW()-7</x:f>
        <x:v>8</x:v>
      </x:c>
      <x:c r="B15" s="86" t="n">
        <x:v>46298</x:v>
      </x:c>
      <x:c r="C15" s="86" t="n">
        <x:v>46304</x:v>
      </x:c>
      <x:c r="D15" s="87" t="n">
        <x:v>6</x:v>
      </x:c>
      <x:c r="E15" s="88" t="str">
        <x:v>海航和东航</x:v>
      </x:c>
      <x:c r="F15" s="88" t="str">
        <x:v>16:30</x:v>
      </x:c>
      <x:c r="G15" s="88" t="str">
        <x:v>22:05</x:v>
      </x:c>
      <x:c r="H15" s="88" t="str">
        <x:v>上海浦东国际机场</x:v>
      </x:c>
      <x:c r="I15" s="88" t="str">
        <x:v>迪庆香格里拉机场</x:v>
      </x:c>
      <x:c r="J15" s="88" t="n">
        <x:v>1</x:v>
      </x:c>
      <x:c r="K15" s="88" t="str">
        <x:v>成都市的成都天府国际机场 / 1 小时 5 分钟</x:v>
      </x:c>
      <x:c r="L15" s="88" t="str">
        <x:v>5 小时 35 分钟</x:v>
      </x:c>
      <x:c r="M15" s="89" t="n">
        <x:v>3515</x:v>
      </x:c>
      <x:c r="N15" s="89" t="n">
        <x:v>0</x:v>
      </x:c>
      <x:c r="O15" s="89" t="n">
        <x:f>M15+N15</x:f>
        <x:v>3515</x:v>
      </x:c>
      <x:c r="P15" s="88" t="str">
        <x:f>IF(O15&lt;5000,"是","否")</x:f>
        <x:v>是</x:v>
      </x:c>
      <x:c r="Q15" s="90" t="str">
        <x:v>国内经济舱通常含20kg；出票前须按实际票价等级复核</x:v>
      </x:c>
      <x:c r="R15" s="90" t="str">
        <x:v>该去程对应的最低可订返程组合；具体返程航班需打开来源链接确认</x:v>
      </x:c>
      <x:c r="S15" s="91" t="n">
        <x:v>46267.74857527778</x:v>
      </x:c>
      <x:c r="T15" s="92" t="str">
        <x:v>https://www.google.com/travel/flights?hl=zh-CN&amp;curr=CNY&amp;q=Flights%20from%20Shanghai%20to%20DIG%20from%202026-10-03%20to%202026-10-09</x:v>
      </x:c>
      <x:c r="U15" s="136"/>
      <x:c r="V15" s="90"/>
      <x:c r="W15" s="90"/>
      <x:c r="X15" s="137"/>
      <x:c r="Y15" s="90"/>
      <x:c r="Z15" s="90"/>
      <x:c r="AA15" s="90"/>
      <x:c r="AB15" s="90"/>
      <x:c r="AC15" s="90"/>
      <x:c r="AD15" s="138"/>
      <x:c r="AE15" s="90" t="str">
        <x:v>去程当前未找到，返程待核验</x:v>
      </x:c>
      <x:c r="AF15" s="92" t="str">
        <x:v>https://www.google.com/travel/flights?hl=zh-CN&amp;curr=CNY&amp;q=Flights%20from%20Shanghai%20to%20DIG%20from%202026-10-03%20to%202026-10-09</x:v>
      </x:c>
    </x:row>
    <x:row r="16" ht="42" customHeight="1">
      <x:c r="A16" s="85" t="n">
        <x:f>ROW()-7</x:f>
        <x:v>9</x:v>
      </x:c>
      <x:c r="B16" s="86" t="n">
        <x:v>46297</x:v>
      </x:c>
      <x:c r="C16" s="86" t="n">
        <x:v>46303</x:v>
      </x:c>
      <x:c r="D16" s="87" t="n">
        <x:v>6</x:v>
      </x:c>
      <x:c r="E16" s="88" t="str">
        <x:v>南航</x:v>
      </x:c>
      <x:c r="F16" s="88" t="str">
        <x:v>22:05</x:v>
      </x:c>
      <x:c r="G16" s="88" t="str">
        <x:v>17:35 +1</x:v>
      </x:c>
      <x:c r="H16" s="88" t="str">
        <x:v>上海浦东国际机场</x:v>
      </x:c>
      <x:c r="I16" s="88" t="str">
        <x:v>迪庆香格里拉机场</x:v>
      </x:c>
      <x:c r="J16" s="88" t="n">
        <x:v>1</x:v>
      </x:c>
      <x:c r="K16" s="88" t="str">
        <x:v>重庆市的重庆江北国际机场 / 14 小时 40 分钟</x:v>
      </x:c>
      <x:c r="L16" s="88" t="str">
        <x:v>19 小时 30 分钟</x:v>
      </x:c>
      <x:c r="M16" s="89" t="n">
        <x:v>3670</x:v>
      </x:c>
      <x:c r="N16" s="89" t="n">
        <x:v>0</x:v>
      </x:c>
      <x:c r="O16" s="89" t="n">
        <x:f>M16+N16</x:f>
        <x:v>3670</x:v>
      </x:c>
      <x:c r="P16" s="88" t="str">
        <x:f>IF(O16&lt;5000,"是","否")</x:f>
        <x:v>是</x:v>
      </x:c>
      <x:c r="Q16" s="90" t="str">
        <x:v>国内经济舱通常含20kg；出票前须按实际票价等级复核</x:v>
      </x:c>
      <x:c r="R16" s="90" t="str">
        <x:v>该去程对应的最低可订返程组合；具体返程航班需打开来源链接确认</x:v>
      </x:c>
      <x:c r="S16" s="91" t="n">
        <x:v>46267.74857527778</x:v>
      </x:c>
      <x:c r="T16" s="92" t="str">
        <x:v>https://www.google.com/travel/flights?hl=zh-CN&amp;curr=CNY&amp;q=Flights%20from%20Shanghai%20to%20DIG%20from%202026-10-02%20to%202026-10-08</x:v>
      </x:c>
      <x:c r="U16" s="136"/>
      <x:c r="V16" s="90"/>
      <x:c r="W16" s="90"/>
      <x:c r="X16" s="137"/>
      <x:c r="Y16" s="90"/>
      <x:c r="Z16" s="90"/>
      <x:c r="AA16" s="90"/>
      <x:c r="AB16" s="90"/>
      <x:c r="AC16" s="90"/>
      <x:c r="AD16" s="138"/>
      <x:c r="AE16" s="90" t="str">
        <x:v>去程当前未找到，返程待核验</x:v>
      </x:c>
      <x:c r="AF16" s="92" t="str">
        <x:v>https://www.google.com/travel/flights?hl=zh-CN&amp;curr=CNY&amp;q=Flights%20from%20Shanghai%20to%20DIG%20from%202026-10-02%20to%202026-10-08</x:v>
      </x:c>
    </x:row>
    <x:row r="17" ht="42" customHeight="1">
      <x:c r="A17" s="93" t="n">
        <x:f>ROW()-7</x:f>
        <x:v>10</x:v>
      </x:c>
      <x:c r="B17" s="94" t="n">
        <x:v>46297</x:v>
      </x:c>
      <x:c r="C17" s="94" t="n">
        <x:v>46304</x:v>
      </x:c>
      <x:c r="D17" s="95" t="n">
        <x:v>7</x:v>
      </x:c>
      <x:c r="E17" s="96" t="str">
        <x:v>川航和东航</x:v>
      </x:c>
      <x:c r="F17" s="96" t="str">
        <x:v>21:35</x:v>
      </x:c>
      <x:c r="G17" s="96" t="str">
        <x:v>07:55 +1</x:v>
      </x:c>
      <x:c r="H17" s="96" t="str">
        <x:v>上海浦东国际机场</x:v>
      </x:c>
      <x:c r="I17" s="96" t="str">
        <x:v>迪庆香格里拉机场</x:v>
      </x:c>
      <x:c r="J17" s="96" t="n">
        <x:v>1</x:v>
      </x:c>
      <x:c r="K17" s="96" t="str">
        <x:v>昆明市的昆明长水国际机场 / 5 小时 50 分钟</x:v>
      </x:c>
      <x:c r="L17" s="96" t="str">
        <x:v>10 小时 20 分钟</x:v>
      </x:c>
      <x:c r="M17" s="97" t="n">
        <x:v>3671</x:v>
      </x:c>
      <x:c r="N17" s="97" t="n">
        <x:v>0</x:v>
      </x:c>
      <x:c r="O17" s="97" t="n">
        <x:f>M17+N17</x:f>
        <x:v>3671</x:v>
      </x:c>
      <x:c r="P17" s="96" t="str">
        <x:f>IF(O17&lt;5000,"是","否")</x:f>
        <x:v>是</x:v>
      </x:c>
      <x:c r="Q17" s="98" t="str">
        <x:v>国内经济舱通常含20kg；出票前须按实际票价等级复核</x:v>
      </x:c>
      <x:c r="R17" s="98" t="str">
        <x:v>该去程对应的最低可订返程组合；具体返程航班需打开来源链接确认</x:v>
      </x:c>
      <x:c r="S17" s="99" t="n">
        <x:v>46267.74857527778</x:v>
      </x:c>
      <x:c r="T17" s="100" t="str">
        <x:v>https://www.google.com/travel/flights?hl=zh-CN&amp;curr=CNY&amp;q=Flights%20from%20Shanghai%20to%20DIG%20from%202026-10-02%20to%202026-10-09</x:v>
      </x:c>
      <x:c r="U17" s="139"/>
      <x:c r="V17" s="98"/>
      <x:c r="W17" s="98"/>
      <x:c r="X17" s="140"/>
      <x:c r="Y17" s="98"/>
      <x:c r="Z17" s="98"/>
      <x:c r="AA17" s="98"/>
      <x:c r="AB17" s="98"/>
      <x:c r="AC17" s="98"/>
      <x:c r="AD17" s="141"/>
      <x:c r="AE17" s="98" t="str">
        <x:v>去程当前未找到，返程待核验</x:v>
      </x:c>
      <x:c r="AF17" s="100" t="str">
        <x:v>https://www.google.com/travel/flights?hl=zh-CN&amp;curr=CNY&amp;q=Flights%20from%20Shanghai%20to%20DIG%20from%202026-10-02%20to%202026-10-09</x:v>
      </x:c>
    </x:row>
  </x:sheetData>
  <x:mergeCells>
    <x:mergeCell ref="A1:AF1"/>
    <x:mergeCell ref="A2:AF2"/>
    <x:mergeCell ref="A4:AF4"/>
    <x:mergeCell ref="A5:AF5"/>
  </x:mergeCells>
  <x:conditionalFormatting sqref="O8:O17">
    <x:cfRule type="cellIs" dxfId="2" priority="1" operator="lessThanOrEqual">
      <x:formula>3500</x:formula>
    </x:cfRule>
    <x:cfRule type="cellIs" dxfId="3" priority="2" operator="greaterThanOrEqual">
      <x:formula>4500</x:formula>
    </x:cfRule>
  </x:conditionalFormatting>
  <x:conditionalFormatting sqref="AE8:AE17">
    <x:cfRule type="containsText" dxfId="13" priority="3" operator="containsText" text="匹配原始"/>
    <x:cfRule type="containsText" dxfId="14" priority="4" operator="containsText" text="价格已变化"/>
    <x:cfRule type="containsText" dxfId="15" priority="5" operator="containsText" text="无价格"/>
    <x:cfRule type="containsText" dxfId="16" priority="6" operator="containsText" text="待核验"/>
    <x:cfRule type="containsText" dxfId="17" priority="7" operator="containsText" text="失败"/>
  </x:conditionalFormatting>
  <x:pageMargins left="0.7" right="0.7" top="0.75" bottom="0.75" header="0.3" footer="0.3"/>
  <x:tableParts count="2">
    <x:tablePart xmlns:r="http://schemas.openxmlformats.org/officeDocument/2006/relationships" r:id="R35ba02dd5cb4481d"/>
    <x:tablePart xmlns:r="http://schemas.openxmlformats.org/officeDocument/2006/relationships" r:id="Ra11868f05854494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2" hidden="0" customWidth="1"/>
    <x:col min="4" max="4" width="8" hidden="0" customWidth="1"/>
    <x:col min="5" max="5" width="21" hidden="0" customWidth="1"/>
    <x:col min="6" max="6" width="10" hidden="0" customWidth="1"/>
    <x:col min="7" max="7" width="10" hidden="0" customWidth="1"/>
    <x:col min="8" max="8" width="24" hidden="0" customWidth="1"/>
    <x:col min="9" max="9" width="24" hidden="0" customWidth="1"/>
    <x:col min="10" max="10" width="8" hidden="0" customWidth="1"/>
    <x:col min="11" max="11" width="27" hidden="0" customWidth="1"/>
    <x:col min="12" max="12" width="14" hidden="0" customWidth="1"/>
    <x:col min="13" max="13" width="14" hidden="0" customWidth="1"/>
    <x:col min="14" max="14" width="14" hidden="0" customWidth="1"/>
    <x:col min="15" max="15" width="15" hidden="0" customWidth="1"/>
    <x:col min="16" max="16" width="13" hidden="0" customWidth="1"/>
    <x:col min="17" max="17" width="39" hidden="0" customWidth="1"/>
    <x:col min="18" max="18" width="42" hidden="0" customWidth="1"/>
    <x:col min="19" max="19" width="20" hidden="0" customWidth="1"/>
    <x:col min="20" max="20" width="58" hidden="0" customWidth="1"/>
    <x:col min="21" max="21" width="12" hidden="0" customWidth="1"/>
    <x:col min="22" max="22" width="10" hidden="0" customWidth="1"/>
    <x:col min="23" max="23" width="24" hidden="0" customWidth="1"/>
    <x:col min="24" max="24" width="12" hidden="0" customWidth="1"/>
    <x:col min="25" max="25" width="10" hidden="0" customWidth="1"/>
    <x:col min="26" max="26" width="24" hidden="0" customWidth="1"/>
    <x:col min="27" max="27" width="20" hidden="0" customWidth="1"/>
    <x:col min="28" max="28" width="9" hidden="0" customWidth="1"/>
    <x:col min="29" max="29" width="14" hidden="0" customWidth="1"/>
    <x:col min="30" max="30" width="14" hidden="0" customWidth="1"/>
    <x:col min="31" max="31" width="34" hidden="0" customWidth="1"/>
    <x:col min="32" max="32" width="58" hidden="0" customWidth="1"/>
  </x:cols>
  <x:sheetData>
    <x:row r="1" ht="32" customHeight="1">
      <x:c r="A1" s="101" t="str">
        <x:v>重庆 → 香格里拉（DIG） 全集</x:v>
      </x:c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  <x:c r="N1" s="101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  <x:c r="AA1" s="101"/>
      <x:c r="AB1" s="101"/>
      <x:c r="AC1" s="101"/>
      <x:c r="AD1" s="101"/>
      <x:c r="AE1" s="101"/>
      <x:c r="AF1" s="101"/>
    </x:row>
    <x:row r="2" ht="28" customHeight="1">
      <x:c r="A2" s="104" t="str">
        <x:v>全集 = 2026-10-01 至 10-09、停留4–7天的14个日期组合中，所有当前可见且含20kg估算后严格低于¥5,000的唯一方案。</x:v>
      </x:c>
      <x:c r="B2" s="104"/>
      <x:c r="C2" s="104"/>
      <x:c r="D2" s="104"/>
      <x:c r="E2" s="104"/>
      <x:c r="F2" s="104"/>
      <x:c r="G2" s="104"/>
      <x:c r="H2" s="104"/>
      <x:c r="I2" s="104"/>
      <x:c r="J2" s="104"/>
      <x:c r="K2" s="104"/>
      <x:c r="L2" s="104"/>
      <x:c r="M2" s="104"/>
      <x:c r="N2" s="104"/>
      <x:c r="O2" s="104"/>
      <x:c r="P2" s="104"/>
      <x:c r="Q2" s="104"/>
      <x:c r="R2" s="104"/>
      <x:c r="S2" s="104"/>
      <x:c r="T2" s="104"/>
      <x:c r="U2" s="104"/>
      <x:c r="V2" s="104"/>
      <x:c r="W2" s="104"/>
      <x:c r="X2" s="104"/>
      <x:c r="Y2" s="104"/>
      <x:c r="Z2" s="104"/>
      <x:c r="AA2" s="104"/>
      <x:c r="AB2" s="104"/>
      <x:c r="AC2" s="104"/>
      <x:c r="AD2" s="104"/>
      <x:c r="AE2" s="104"/>
      <x:c r="AF2" s="104"/>
    </x:row>
    <x:row r="3">
      <x:c r="A3" s="68" t="str">
        <x:v>方案数</x:v>
      </x:c>
      <x:c r="B3" s="68" t="n">
        <x:f>COUNTA(A8:A17)</x:f>
        <x:v>10</x:v>
      </x:c>
      <x:c r="C3" s="68"/>
      <x:c r="D3" s="68" t="str">
        <x:v>覆盖日期组合</x:v>
      </x:c>
      <x:c r="E3" s="68" t="str">
        <x:v>10/14</x:v>
      </x:c>
      <x:c r="F3" s="68"/>
      <x:c r="G3" s="68" t="str">
        <x:v>最低含行李价</x:v>
      </x:c>
      <x:c r="H3" s="69" t="n">
        <x:f>MIN(O8:O17)</x:f>
        <x:v>2820</x:v>
      </x:c>
      <x:c r="I3" s="68"/>
      <x:c r="J3" s="68" t="str">
        <x:v>最高合格价</x:v>
      </x:c>
      <x:c r="K3" s="69" t="n">
        <x:f>MAX(O8:O17)</x:f>
        <x:v>2820</x:v>
      </x:c>
      <x:c r="L3" s="68"/>
      <x:c r="M3" s="68" t="str">
        <x:v>价格上限</x:v>
      </x:c>
      <x:c r="N3" s="69" t="n">
        <x:v>5000</x:v>
      </x:c>
      <x:c r="O3" s="68"/>
      <x:c r="P3" s="68" t="str">
        <x:v>搜索时间</x:v>
      </x:c>
      <x:c r="Q3" s="70" t="n">
        <x:v>46267.752321875</x:v>
      </x:c>
      <x:c r="R3" s="71"/>
      <x:c r="S3" s="71"/>
      <x:c r="T3" s="71"/>
    </x:row>
    <x:row r="4" ht="28" customHeight="1">
      <x:c r="A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B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C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D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E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F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G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H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I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J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K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L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M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N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O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P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Q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R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S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T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U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V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W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X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Y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Z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A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B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C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D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E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F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</x:row>
    <x:row r="5" ht="34" customHeight="1">
      <x:c r="A5" s="110" t="str">
        <x:v>行李来源：春秋航空 https://www.ch.com/News/09931f418e51475d9bdee6c598343199.html；西部航空 https://www.westair.cn/stcontent/menupage/fe61b2ec-9adb-4033-9d00-3297748aa1cc/88f48e03-163c-4dd9-9229-8be70d1ba853/71901746-da70-4e43-84bc-f2d2c01278a3。传统航司按国内经济舱通常20kg处理，差异化航司采用保守预留，出票前仍须复核。</x:v>
      </x:c>
      <x:c r="B5" s="110"/>
      <x:c r="C5" s="110"/>
      <x:c r="D5" s="110"/>
      <x:c r="E5" s="110"/>
      <x:c r="F5" s="110"/>
      <x:c r="G5" s="110"/>
      <x:c r="H5" s="110"/>
      <x:c r="I5" s="110"/>
      <x:c r="J5" s="110"/>
      <x:c r="K5" s="110"/>
      <x:c r="L5" s="110"/>
      <x:c r="M5" s="110"/>
      <x:c r="N5" s="110"/>
      <x:c r="O5" s="110"/>
      <x:c r="P5" s="110"/>
      <x:c r="Q5" s="110"/>
      <x:c r="R5" s="110"/>
      <x:c r="S5" s="110"/>
      <x:c r="T5" s="110"/>
      <x:c r="U5" s="110"/>
      <x:c r="V5" s="110"/>
      <x:c r="W5" s="110"/>
      <x:c r="X5" s="110"/>
      <x:c r="Y5" s="110"/>
      <x:c r="Z5" s="110"/>
      <x:c r="AA5" s="110"/>
      <x:c r="AB5" s="110"/>
      <x:c r="AC5" s="110"/>
      <x:c r="AD5" s="110"/>
      <x:c r="AE5" s="110"/>
      <x:c r="AF5" s="110"/>
    </x:row>
    <x:row r="6">
      <x:c r="A6" s="71"/>
      <x:c r="B6" s="71"/>
      <x:c r="C6" s="71"/>
      <x:c r="D6" s="71"/>
      <x:c r="E6" s="71"/>
      <x:c r="F6" s="71"/>
      <x:c r="G6" s="71"/>
      <x:c r="H6" s="71"/>
      <x:c r="I6" s="71"/>
      <x:c r="J6" s="71"/>
      <x:c r="K6" s="71"/>
      <x:c r="L6" s="71"/>
      <x:c r="M6" s="71"/>
      <x:c r="N6" s="71"/>
      <x:c r="O6" s="71"/>
      <x:c r="P6" s="71"/>
      <x:c r="Q6" s="71"/>
      <x:c r="R6" s="71"/>
      <x:c r="S6" s="71"/>
      <x:c r="T6" s="71"/>
    </x:row>
    <x:row r="7" ht="34" customHeight="1">
      <x:c r="A7" s="74" t="str">
        <x:v>序号</x:v>
      </x:c>
      <x:c r="B7" s="75" t="str">
        <x:v>出发日期</x:v>
      </x:c>
      <x:c r="C7" s="75" t="str">
        <x:v>返程日期</x:v>
      </x:c>
      <x:c r="D7" s="75" t="str">
        <x:v>停留天数</x:v>
      </x:c>
      <x:c r="E7" s="75" t="str">
        <x:v>航空公司</x:v>
      </x:c>
      <x:c r="F7" s="75" t="str">
        <x:v>出发时间</x:v>
      </x:c>
      <x:c r="G7" s="75" t="str">
        <x:v>到达时间</x:v>
      </x:c>
      <x:c r="H7" s="75" t="str">
        <x:v>出发机场</x:v>
      </x:c>
      <x:c r="I7" s="75" t="str">
        <x:v>到达机场</x:v>
      </x:c>
      <x:c r="J7" s="75" t="str">
        <x:v>经停次数</x:v>
      </x:c>
      <x:c r="K7" s="75" t="str">
        <x:v>中转信息</x:v>
      </x:c>
      <x:c r="L7" s="75" t="str">
        <x:v>去程时长</x:v>
      </x:c>
      <x:c r="M7" s="75" t="str">
        <x:v>Google往返起价</x:v>
      </x:c>
      <x:c r="N7" s="75" t="str">
        <x:v>20kg行李估算</x:v>
      </x:c>
      <x:c r="O7" s="75" t="str">
        <x:v>含20kg估算总价</x:v>
      </x:c>
      <x:c r="P7" s="75" t="str">
        <x:v>严格低于¥5,000</x:v>
      </x:c>
      <x:c r="Q7" s="75" t="str">
        <x:v>行李口径</x:v>
      </x:c>
      <x:c r="R7" s="75" t="str">
        <x:v>返程说明</x:v>
      </x:c>
      <x:c r="S7" s="75" t="str">
        <x:v>搜索时间</x:v>
      </x:c>
      <x:c r="T7" s="76" t="str">
        <x:v>来源URL</x:v>
      </x:c>
      <x:c r="U7" s="124" t="str">
        <x:v>返程出发日期</x:v>
      </x:c>
      <x:c r="V7" s="125" t="str">
        <x:v>返程起飞时间</x:v>
      </x:c>
      <x:c r="W7" s="125" t="str">
        <x:v>返程出发机场</x:v>
      </x:c>
      <x:c r="X7" s="125" t="str">
        <x:v>返程到达日期</x:v>
      </x:c>
      <x:c r="Y7" s="125" t="str">
        <x:v>返程到达时间</x:v>
      </x:c>
      <x:c r="Z7" s="125" t="str">
        <x:v>返程到达机场</x:v>
      </x:c>
      <x:c r="AA7" s="125" t="str">
        <x:v>返程航空公司</x:v>
      </x:c>
      <x:c r="AB7" s="125" t="str">
        <x:v>返程经停次数</x:v>
      </x:c>
      <x:c r="AC7" s="125" t="str">
        <x:v>返程时长</x:v>
      </x:c>
      <x:c r="AD7" s="125" t="str">
        <x:v>当前返程总价</x:v>
      </x:c>
      <x:c r="AE7" s="125" t="str">
        <x:v>返程匹配状态</x:v>
      </x:c>
      <x:c r="AF7" s="126" t="str">
        <x:v>返程来源URL</x:v>
      </x:c>
    </x:row>
    <x:row r="8" ht="42" customHeight="1">
      <x:c r="A8" s="77" t="n">
        <x:f>ROW()-7</x:f>
        <x:v>1</x:v>
      </x:c>
      <x:c r="B8" s="78" t="n">
        <x:v>46296</x:v>
      </x:c>
      <x:c r="C8" s="78" t="n">
        <x:v>46301</x:v>
      </x:c>
      <x:c r="D8" s="79" t="n">
        <x:v>5</x:v>
      </x:c>
      <x:c r="E8" s="80" t="str">
        <x:v>南航</x:v>
      </x:c>
      <x:c r="F8" s="80" t="str">
        <x:v>15:35</x:v>
      </x:c>
      <x:c r="G8" s="80" t="str">
        <x:v>17:35</x:v>
      </x:c>
      <x:c r="H8" s="80" t="str">
        <x:v>重庆江北国际机场</x:v>
      </x:c>
      <x:c r="I8" s="80" t="str">
        <x:v>迪庆香格里拉机场</x:v>
      </x:c>
      <x:c r="J8" s="80" t="n">
        <x:v>0</x:v>
      </x:c>
      <x:c r="K8" s="80" t="str">
        <x:v>—</x:v>
      </x:c>
      <x:c r="L8" s="80" t="str">
        <x:v>2 小时</x:v>
      </x:c>
      <x:c r="M8" s="81" t="n">
        <x:v>2820</x:v>
      </x:c>
      <x:c r="N8" s="81" t="n">
        <x:v>0</x:v>
      </x:c>
      <x:c r="O8" s="81" t="n">
        <x:f>M8+N8</x:f>
        <x:v>2820</x:v>
      </x:c>
      <x:c r="P8" s="80" t="str">
        <x:f>IF(O8&lt;5000,"是","否")</x:f>
        <x:v>是</x:v>
      </x:c>
      <x:c r="Q8" s="82" t="str">
        <x:v>国内经济舱通常含20kg；出票前须按实际票价等级复核</x:v>
      </x:c>
      <x:c r="R8" s="82" t="str">
        <x:v>该去程对应的最低可订返程组合；具体返程航班需打开来源链接确认</x:v>
      </x:c>
      <x:c r="S8" s="83" t="n">
        <x:v>46267.74922974537</x:v>
      </x:c>
      <x:c r="T8" s="84" t="str">
        <x:v>https://www.google.com/travel/flights?hl=zh-CN&amp;curr=CNY&amp;q=Flights%20from%20Chongqing%20to%20DIG%20from%202026-10-01%20to%202026-10-06</x:v>
      </x:c>
      <x:c r="U8" s="133" t="n">
        <x:v>46301</x:v>
      </x:c>
      <x:c r="V8" s="82" t="str">
        <x:v>18:15</x:v>
      </x:c>
      <x:c r="W8" s="82" t="str">
        <x:v>迪庆香格里拉机场</x:v>
      </x:c>
      <x:c r="X8" s="134" t="n">
        <x:v>46301</x:v>
      </x:c>
      <x:c r="Y8" s="82" t="str">
        <x:v>20:10</x:v>
      </x:c>
      <x:c r="Z8" s="82" t="str">
        <x:v>重庆江北国际机场</x:v>
      </x:c>
      <x:c r="AA8" s="82" t="str">
        <x:v>重航</x:v>
      </x:c>
      <x:c r="AB8" s="82" t="n">
        <x:v>0</x:v>
      </x:c>
      <x:c r="AC8" s="82" t="str">
        <x:v>1 小时 55 分钟</x:v>
      </x:c>
      <x:c r="AD8" s="135"/>
      <x:c r="AE8" s="82" t="str">
        <x:v>当前返程列表无价格，采用排序第一条</x:v>
      </x:c>
      <x:c r="AF8" s="84" t="str">
        <x:v>https://www.google.com/travel/flights/search?tfs=CBwQAhpGEgoyMDI2LTEwLTAxIiAKA0NLRxIKMjAyNi0xMC0wMRoDRElHKgJPUTIEMjEwMWoNCAISCS9tLzAxNzIzNnIHCAESA0RJRxokEgoyMDI2LTEwLTA2agcIARIDRElHcg0IAhIJL20vMDE3MjM2QAFIAXABggELCP___________wGYAQE&amp;tfu=ClhDalJJTlU4M1RFRndjM05IY25OQlJtTmpXRkZDUnkwdExTMHRMUzB0TFhOdFltUm5ORUZCUVVGQlIzRlpSRFZ2Ulc5VVowVkJFZ1pQVVRJeE1ERTRIUT09EgIIACIA&amp;hl=zh-CN&amp;curr=CNY</x:v>
      </x:c>
    </x:row>
    <x:row r="9" ht="42" customHeight="1">
      <x:c r="A9" s="85" t="n">
        <x:f>ROW()-7</x:f>
        <x:v>2</x:v>
      </x:c>
      <x:c r="B9" s="86" t="n">
        <x:v>46296</x:v>
      </x:c>
      <x:c r="C9" s="86" t="n">
        <x:v>46302</x:v>
      </x:c>
      <x:c r="D9" s="87" t="n">
        <x:v>6</x:v>
      </x:c>
      <x:c r="E9" s="88" t="str">
        <x:v>南航</x:v>
      </x:c>
      <x:c r="F9" s="88" t="str">
        <x:v>15:35</x:v>
      </x:c>
      <x:c r="G9" s="88" t="str">
        <x:v>17:35</x:v>
      </x:c>
      <x:c r="H9" s="88" t="str">
        <x:v>重庆江北国际机场</x:v>
      </x:c>
      <x:c r="I9" s="88" t="str">
        <x:v>迪庆香格里拉机场</x:v>
      </x:c>
      <x:c r="J9" s="88" t="n">
        <x:v>0</x:v>
      </x:c>
      <x:c r="K9" s="88" t="str">
        <x:v>—</x:v>
      </x:c>
      <x:c r="L9" s="88" t="str">
        <x:v>2 小时</x:v>
      </x:c>
      <x:c r="M9" s="89" t="n">
        <x:v>2820</x:v>
      </x:c>
      <x:c r="N9" s="89" t="n">
        <x:v>0</x:v>
      </x:c>
      <x:c r="O9" s="89" t="n">
        <x:f>M9+N9</x:f>
        <x:v>2820</x:v>
      </x:c>
      <x:c r="P9" s="88" t="str">
        <x:f>IF(O9&lt;5000,"是","否")</x:f>
        <x:v>是</x:v>
      </x:c>
      <x:c r="Q9" s="90" t="str">
        <x:v>国内经济舱通常含20kg；出票前须按实际票价等级复核</x:v>
      </x:c>
      <x:c r="R9" s="90" t="str">
        <x:v>该去程对应的最低可订返程组合；具体返程航班需打开来源链接确认</x:v>
      </x:c>
      <x:c r="S9" s="91" t="n">
        <x:v>46267.74922974537</x:v>
      </x:c>
      <x:c r="T9" s="92" t="str">
        <x:v>https://www.google.com/travel/flights?hl=zh-CN&amp;curr=CNY&amp;q=Flights%20from%20Chongqing%20to%20DIG%20from%202026-10-01%20to%202026-10-07</x:v>
      </x:c>
      <x:c r="U9" s="136" t="n">
        <x:v>46302</x:v>
      </x:c>
      <x:c r="V9" s="90" t="str">
        <x:v>18:15</x:v>
      </x:c>
      <x:c r="W9" s="90" t="str">
        <x:v>迪庆香格里拉机场</x:v>
      </x:c>
      <x:c r="X9" s="137" t="n">
        <x:v>46302</x:v>
      </x:c>
      <x:c r="Y9" s="90" t="str">
        <x:v>20:00</x:v>
      </x:c>
      <x:c r="Z9" s="90" t="str">
        <x:v>重庆江北国际机场</x:v>
      </x:c>
      <x:c r="AA9" s="90" t="str">
        <x:v>重航</x:v>
      </x:c>
      <x:c r="AB9" s="90" t="n">
        <x:v>0</x:v>
      </x:c>
      <x:c r="AC9" s="90" t="str">
        <x:v>1 小时 45 分钟</x:v>
      </x:c>
      <x:c r="AD9" s="138"/>
      <x:c r="AE9" s="90" t="str">
        <x:v>当前返程列表无价格，采用排序第一条</x:v>
      </x:c>
      <x:c r="AF9" s="92" t="str">
        <x:v>https://www.google.com/travel/flights/search?tfs=CBwQAhpGEgoyMDI2LTEwLTAxIiAKA0NLRxIKMjAyNi0xMC0wMRoDRElHKgJPUTIEMjEwMWoNCAISCS9tLzAxNzIzNnIHCAESA0RJRxokEgoyMDI2LTEwLTA3agcIARIDRElHcg0IAhIJL20vMDE3MjM2QAFIAXABggELCP___________wGYAQE&amp;tfu=ClhDalJJUldWVWVrOVRPSFJGVkRCQlJWcGZaR2RDUnkwdExTMHRMUzB0TFhObFoyY3lOMEZCUVVGQlIzRlpSRFZ2UjBGcVFtVkJFZ1pQVVRJeE1ERTRIUT09EgIIACIA&amp;hl=zh-CN&amp;curr=CNY</x:v>
      </x:c>
    </x:row>
    <x:row r="10" ht="42" customHeight="1">
      <x:c r="A10" s="85" t="n">
        <x:f>ROW()-7</x:f>
        <x:v>3</x:v>
      </x:c>
      <x:c r="B10" s="86" t="n">
        <x:v>46296</x:v>
      </x:c>
      <x:c r="C10" s="86" t="n">
        <x:v>46303</x:v>
      </x:c>
      <x:c r="D10" s="87" t="n">
        <x:v>7</x:v>
      </x:c>
      <x:c r="E10" s="88" t="str">
        <x:v>南航</x:v>
      </x:c>
      <x:c r="F10" s="88" t="str">
        <x:v>15:35</x:v>
      </x:c>
      <x:c r="G10" s="88" t="str">
        <x:v>17:35</x:v>
      </x:c>
      <x:c r="H10" s="88" t="str">
        <x:v>重庆江北国际机场</x:v>
      </x:c>
      <x:c r="I10" s="88" t="str">
        <x:v>迪庆香格里拉机场</x:v>
      </x:c>
      <x:c r="J10" s="88" t="n">
        <x:v>0</x:v>
      </x:c>
      <x:c r="K10" s="88" t="str">
        <x:v>—</x:v>
      </x:c>
      <x:c r="L10" s="88" t="str">
        <x:v>2 小时</x:v>
      </x:c>
      <x:c r="M10" s="89" t="n">
        <x:v>2820</x:v>
      </x:c>
      <x:c r="N10" s="89" t="n">
        <x:v>0</x:v>
      </x:c>
      <x:c r="O10" s="89" t="n">
        <x:f>M10+N10</x:f>
        <x:v>2820</x:v>
      </x:c>
      <x:c r="P10" s="88" t="str">
        <x:f>IF(O10&lt;5000,"是","否")</x:f>
        <x:v>是</x:v>
      </x:c>
      <x:c r="Q10" s="90" t="str">
        <x:v>国内经济舱通常含20kg；出票前须按实际票价等级复核</x:v>
      </x:c>
      <x:c r="R10" s="90" t="str">
        <x:v>该去程对应的最低可订返程组合；具体返程航班需打开来源链接确认</x:v>
      </x:c>
      <x:c r="S10" s="91" t="n">
        <x:v>46267.74922974537</x:v>
      </x:c>
      <x:c r="T10" s="92" t="str">
        <x:v>https://www.google.com/travel/flights?hl=zh-CN&amp;curr=CNY&amp;q=Flights%20from%20Chongqing%20to%20DIG%20from%202026-10-01%20to%202026-10-08</x:v>
      </x:c>
      <x:c r="U10" s="136" t="n">
        <x:v>46303</x:v>
      </x:c>
      <x:c r="V10" s="90" t="str">
        <x:v>18:15</x:v>
      </x:c>
      <x:c r="W10" s="90" t="str">
        <x:v>迪庆香格里拉机场</x:v>
      </x:c>
      <x:c r="X10" s="137" t="n">
        <x:v>46303</x:v>
      </x:c>
      <x:c r="Y10" s="90" t="str">
        <x:v>20:10</x:v>
      </x:c>
      <x:c r="Z10" s="90" t="str">
        <x:v>重庆江北国际机场</x:v>
      </x:c>
      <x:c r="AA10" s="90" t="str">
        <x:v>重航</x:v>
      </x:c>
      <x:c r="AB10" s="90" t="n">
        <x:v>0</x:v>
      </x:c>
      <x:c r="AC10" s="90" t="str">
        <x:v>1 小时 55 分钟</x:v>
      </x:c>
      <x:c r="AD10" s="138"/>
      <x:c r="AE10" s="90" t="str">
        <x:v>当前返程列表无价格，采用排序第一条</x:v>
      </x:c>
      <x:c r="AF10" s="92" t="str">
        <x:v>https://www.google.com/travel/flights/search?tfs=CBwQAhpGEgoyMDI2LTEwLTAxIiAKA0NLRxIKMjAyNi0xMC0wMRoDRElHKgJPUTIEMjEwMWoNCAISCS9tLzAxNzIzNnIHCAESA0RJRxokEgoyMDI2LTEwLTA4agcIARIDRElHcg0IAhIJL20vMDE3MjM2QAFIAXABggELCP___________wGYAQE&amp;tfu=ClhDalJJZEU5VWJEQndRbVpTWVhkQlIybG9ibmRDUnkwdExTMHRMUzB0YzJWaVozSXpNMEZCUVVGQlIzRlpSRFZ2UmxKS1NtZEJFZ1pQVVRJeE1ERTRIUT09EgIIACIA&amp;hl=zh-CN&amp;curr=CNY</x:v>
      </x:c>
    </x:row>
    <x:row r="11" ht="42" customHeight="1">
      <x:c r="A11" s="85" t="n">
        <x:f>ROW()-7</x:f>
        <x:v>4</x:v>
      </x:c>
      <x:c r="B11" s="86" t="n">
        <x:v>46297</x:v>
      </x:c>
      <x:c r="C11" s="86" t="n">
        <x:v>46301</x:v>
      </x:c>
      <x:c r="D11" s="87" t="n">
        <x:v>4</x:v>
      </x:c>
      <x:c r="E11" s="88" t="str">
        <x:v>南航</x:v>
      </x:c>
      <x:c r="F11" s="88" t="str">
        <x:v>15:35</x:v>
      </x:c>
      <x:c r="G11" s="88" t="str">
        <x:v>17:35</x:v>
      </x:c>
      <x:c r="H11" s="88" t="str">
        <x:v>重庆江北国际机场</x:v>
      </x:c>
      <x:c r="I11" s="88" t="str">
        <x:v>迪庆香格里拉机场</x:v>
      </x:c>
      <x:c r="J11" s="88" t="n">
        <x:v>0</x:v>
      </x:c>
      <x:c r="K11" s="88" t="str">
        <x:v>—</x:v>
      </x:c>
      <x:c r="L11" s="88" t="str">
        <x:v>2 小时</x:v>
      </x:c>
      <x:c r="M11" s="89" t="n">
        <x:v>2820</x:v>
      </x:c>
      <x:c r="N11" s="89" t="n">
        <x:v>0</x:v>
      </x:c>
      <x:c r="O11" s="89" t="n">
        <x:f>M11+N11</x:f>
        <x:v>2820</x:v>
      </x:c>
      <x:c r="P11" s="88" t="str">
        <x:f>IF(O11&lt;5000,"是","否")</x:f>
        <x:v>是</x:v>
      </x:c>
      <x:c r="Q11" s="90" t="str">
        <x:v>国内经济舱通常含20kg；出票前须按实际票价等级复核</x:v>
      </x:c>
      <x:c r="R11" s="90" t="str">
        <x:v>该去程对应的最低可订返程组合；具体返程航班需打开来源链接确认</x:v>
      </x:c>
      <x:c r="S11" s="91" t="n">
        <x:v>46267.74922974537</x:v>
      </x:c>
      <x:c r="T11" s="92" t="str">
        <x:v>https://www.google.com/travel/flights?hl=zh-CN&amp;curr=CNY&amp;q=Flights%20from%20Chongqing%20to%20DIG%20from%202026-10-02%20to%202026-10-06</x:v>
      </x:c>
      <x:c r="U11" s="136" t="n">
        <x:v>46301</x:v>
      </x:c>
      <x:c r="V11" s="90" t="str">
        <x:v>18:15</x:v>
      </x:c>
      <x:c r="W11" s="90" t="str">
        <x:v>迪庆香格里拉机场</x:v>
      </x:c>
      <x:c r="X11" s="137" t="n">
        <x:v>46301</x:v>
      </x:c>
      <x:c r="Y11" s="90" t="str">
        <x:v>20:10</x:v>
      </x:c>
      <x:c r="Z11" s="90" t="str">
        <x:v>重庆江北国际机场</x:v>
      </x:c>
      <x:c r="AA11" s="90" t="str">
        <x:v>重航</x:v>
      </x:c>
      <x:c r="AB11" s="90" t="n">
        <x:v>0</x:v>
      </x:c>
      <x:c r="AC11" s="90" t="str">
        <x:v>1 小时 55 分钟</x:v>
      </x:c>
      <x:c r="AD11" s="138"/>
      <x:c r="AE11" s="90" t="str">
        <x:v>当前返程列表无价格，采用排序第一条</x:v>
      </x:c>
      <x:c r="AF11" s="92" t="str">
        <x:v>https://www.google.com/travel/flights/search?tfs=CBwQAhpGEgoyMDI2LTEwLTAyIiAKA0NLRxIKMjAyNi0xMC0wMhoDRElHKgJPUTIEMjEwMWoNCAISCS9tLzAxNzIzNnIHCAESA0RJRxokEgoyMDI2LTEwLTA2agcIARIDRElHcg0IAhIJL20vMDE3MjM2QAFIAXABggELCP___________wGYAQE&amp;tfu=ClhDalJJV0Raek9XaExUWEpYVGtsQlJYRXpXR2RDUnkwdExTMHRMUzF6WlhSdE9DMXVNVUZCUVVGQlIzRlpSRFZ2UmtKT1lubEJFZ1pQVVRJeE1ERTRIUT09EgIIACIA&amp;hl=zh-CN&amp;curr=CNY</x:v>
      </x:c>
    </x:row>
    <x:row r="12" ht="42" customHeight="1">
      <x:c r="A12" s="85" t="n">
        <x:f>ROW()-7</x:f>
        <x:v>5</x:v>
      </x:c>
      <x:c r="B12" s="86" t="n">
        <x:v>46297</x:v>
      </x:c>
      <x:c r="C12" s="86" t="n">
        <x:v>46303</x:v>
      </x:c>
      <x:c r="D12" s="87" t="n">
        <x:v>6</x:v>
      </x:c>
      <x:c r="E12" s="88" t="str">
        <x:v>南航</x:v>
      </x:c>
      <x:c r="F12" s="88" t="str">
        <x:v>15:35</x:v>
      </x:c>
      <x:c r="G12" s="88" t="str">
        <x:v>17:35</x:v>
      </x:c>
      <x:c r="H12" s="88" t="str">
        <x:v>重庆江北国际机场</x:v>
      </x:c>
      <x:c r="I12" s="88" t="str">
        <x:v>迪庆香格里拉机场</x:v>
      </x:c>
      <x:c r="J12" s="88" t="n">
        <x:v>0</x:v>
      </x:c>
      <x:c r="K12" s="88" t="str">
        <x:v>—</x:v>
      </x:c>
      <x:c r="L12" s="88" t="str">
        <x:v>2 小时</x:v>
      </x:c>
      <x:c r="M12" s="89" t="n">
        <x:v>2820</x:v>
      </x:c>
      <x:c r="N12" s="89" t="n">
        <x:v>0</x:v>
      </x:c>
      <x:c r="O12" s="89" t="n">
        <x:f>M12+N12</x:f>
        <x:v>2820</x:v>
      </x:c>
      <x:c r="P12" s="88" t="str">
        <x:f>IF(O12&lt;5000,"是","否")</x:f>
        <x:v>是</x:v>
      </x:c>
      <x:c r="Q12" s="90" t="str">
        <x:v>国内经济舱通常含20kg；出票前须按实际票价等级复核</x:v>
      </x:c>
      <x:c r="R12" s="90" t="str">
        <x:v>该去程对应的最低可订返程组合；具体返程航班需打开来源链接确认</x:v>
      </x:c>
      <x:c r="S12" s="91" t="n">
        <x:v>46267.74922974537</x:v>
      </x:c>
      <x:c r="T12" s="92" t="str">
        <x:v>https://www.google.com/travel/flights?hl=zh-CN&amp;curr=CNY&amp;q=Flights%20from%20Chongqing%20to%20DIG%20from%202026-10-02%20to%202026-10-08</x:v>
      </x:c>
      <x:c r="U12" s="136" t="n">
        <x:v>46303</x:v>
      </x:c>
      <x:c r="V12" s="90" t="str">
        <x:v>18:15</x:v>
      </x:c>
      <x:c r="W12" s="90" t="str">
        <x:v>迪庆香格里拉机场</x:v>
      </x:c>
      <x:c r="X12" s="137" t="n">
        <x:v>46303</x:v>
      </x:c>
      <x:c r="Y12" s="90" t="str">
        <x:v>20:10</x:v>
      </x:c>
      <x:c r="Z12" s="90" t="str">
        <x:v>重庆江北国际机场</x:v>
      </x:c>
      <x:c r="AA12" s="90" t="str">
        <x:v>重航</x:v>
      </x:c>
      <x:c r="AB12" s="90" t="n">
        <x:v>0</x:v>
      </x:c>
      <x:c r="AC12" s="90" t="str">
        <x:v>1 小时 55 分钟</x:v>
      </x:c>
      <x:c r="AD12" s="138"/>
      <x:c r="AE12" s="90" t="str">
        <x:v>当前返程列表无价格，采用排序第一条</x:v>
      </x:c>
      <x:c r="AF12" s="92" t="str">
        <x:v>https://www.google.com/travel/flights/search?tfs=CBwQAhpGEgoyMDI2LTEwLTAyIiAKA0NLRxIKMjAyNi0xMC0wMhoDRElHKgJPUTIEMjEwMWoNCAISCS9tLzAxNzIzNnIHCAESA0RJRxokEgoyMDI2LTEwLTA4agcIARIDRElHcg0IAhIJL20vMDE3MjM2QAFIAXABggELCP___________wGYAQE&amp;tfu=ClhDalJJTjI1cVh5MTFabXBWVjI5QlJYQXlNSGRDUnkwdExTMHRMWE5sZEc0eU5pMXVNVUZCUVVGQlIzRlpSRFpCU25sTk9YbEJFZ1pQVVRJeE1ERTRIUT09EgIIACIA&amp;hl=zh-CN&amp;curr=CNY</x:v>
      </x:c>
    </x:row>
    <x:row r="13" ht="42" customHeight="1">
      <x:c r="A13" s="85" t="n">
        <x:f>ROW()-7</x:f>
        <x:v>6</x:v>
      </x:c>
      <x:c r="B13" s="86" t="n">
        <x:v>46298</x:v>
      </x:c>
      <x:c r="C13" s="86" t="n">
        <x:v>46302</x:v>
      </x:c>
      <x:c r="D13" s="87" t="n">
        <x:v>4</x:v>
      </x:c>
      <x:c r="E13" s="88" t="str">
        <x:v>南航</x:v>
      </x:c>
      <x:c r="F13" s="88" t="str">
        <x:v>15:35</x:v>
      </x:c>
      <x:c r="G13" s="88" t="str">
        <x:v>17:35</x:v>
      </x:c>
      <x:c r="H13" s="88" t="str">
        <x:v>重庆江北国际机场</x:v>
      </x:c>
      <x:c r="I13" s="88" t="str">
        <x:v>迪庆香格里拉机场</x:v>
      </x:c>
      <x:c r="J13" s="88" t="n">
        <x:v>0</x:v>
      </x:c>
      <x:c r="K13" s="88" t="str">
        <x:v>—</x:v>
      </x:c>
      <x:c r="L13" s="88" t="str">
        <x:v>2 小时</x:v>
      </x:c>
      <x:c r="M13" s="89" t="n">
        <x:v>2820</x:v>
      </x:c>
      <x:c r="N13" s="89" t="n">
        <x:v>0</x:v>
      </x:c>
      <x:c r="O13" s="89" t="n">
        <x:f>M13+N13</x:f>
        <x:v>2820</x:v>
      </x:c>
      <x:c r="P13" s="88" t="str">
        <x:f>IF(O13&lt;5000,"是","否")</x:f>
        <x:v>是</x:v>
      </x:c>
      <x:c r="Q13" s="90" t="str">
        <x:v>国内经济舱通常含20kg；出票前须按实际票价等级复核</x:v>
      </x:c>
      <x:c r="R13" s="90" t="str">
        <x:v>该去程对应的最低可订返程组合；具体返程航班需打开来源链接确认</x:v>
      </x:c>
      <x:c r="S13" s="91" t="n">
        <x:v>46267.74922974537</x:v>
      </x:c>
      <x:c r="T13" s="92" t="str">
        <x:v>https://www.google.com/travel/flights?hl=zh-CN&amp;curr=CNY&amp;q=Flights%20from%20Chongqing%20to%20DIG%20from%202026-10-03%20to%202026-10-07</x:v>
      </x:c>
      <x:c r="U13" s="136" t="n">
        <x:v>46302</x:v>
      </x:c>
      <x:c r="V13" s="90" t="str">
        <x:v>18:15</x:v>
      </x:c>
      <x:c r="W13" s="90" t="str">
        <x:v>迪庆香格里拉机场</x:v>
      </x:c>
      <x:c r="X13" s="137" t="n">
        <x:v>46302</x:v>
      </x:c>
      <x:c r="Y13" s="90" t="str">
        <x:v>20:00</x:v>
      </x:c>
      <x:c r="Z13" s="90" t="str">
        <x:v>重庆江北国际机场</x:v>
      </x:c>
      <x:c r="AA13" s="90" t="str">
        <x:v>重航</x:v>
      </x:c>
      <x:c r="AB13" s="90" t="n">
        <x:v>0</x:v>
      </x:c>
      <x:c r="AC13" s="90" t="str">
        <x:v>1 小时 45 分钟</x:v>
      </x:c>
      <x:c r="AD13" s="138"/>
      <x:c r="AE13" s="90" t="str">
        <x:v>当前返程列表无价格，采用排序第一条</x:v>
      </x:c>
      <x:c r="AF13" s="92" t="str">
        <x:v>https://www.google.com/travel/flights/search?tfs=CBwQAhpGEgoyMDI2LTEwLTAzIiAKA0NLRxIKMjAyNi0xMC0wMxoDRElHKgJPUTIEMjEwMWoNCAISCS9tLzAxNzIzNnIHCAESA0RJRxokEgoyMDI2LTEwLTA3agcIARIDRElHcg0IAhIJL20vMDE3MjM2QAFIAXABggELCP___________wGYAQE&amp;tfu=ClhDalJJUjJOcVVEZzBWMGRIYlVWQlJYUklWMEZDUnkwdExTMHRMUzB0YzJWaVluVXpOVUZCUVVGQlIzRlpSRFpCU21SUGNtbEJFZ1pQVVRJeE1ERTRIUT09EgIIACIA&amp;hl=zh-CN&amp;curr=CNY</x:v>
      </x:c>
    </x:row>
    <x:row r="14" ht="42" customHeight="1">
      <x:c r="A14" s="85" t="n">
        <x:f>ROW()-7</x:f>
        <x:v>7</x:v>
      </x:c>
      <x:c r="B14" s="86" t="n">
        <x:v>46298</x:v>
      </x:c>
      <x:c r="C14" s="86" t="n">
        <x:v>46304</x:v>
      </x:c>
      <x:c r="D14" s="87" t="n">
        <x:v>6</x:v>
      </x:c>
      <x:c r="E14" s="88" t="str">
        <x:v>南航</x:v>
      </x:c>
      <x:c r="F14" s="88" t="str">
        <x:v>15:35</x:v>
      </x:c>
      <x:c r="G14" s="88" t="str">
        <x:v>17:35</x:v>
      </x:c>
      <x:c r="H14" s="88" t="str">
        <x:v>重庆江北国际机场</x:v>
      </x:c>
      <x:c r="I14" s="88" t="str">
        <x:v>迪庆香格里拉机场</x:v>
      </x:c>
      <x:c r="J14" s="88" t="n">
        <x:v>0</x:v>
      </x:c>
      <x:c r="K14" s="88" t="str">
        <x:v>—</x:v>
      </x:c>
      <x:c r="L14" s="88" t="str">
        <x:v>2 小时</x:v>
      </x:c>
      <x:c r="M14" s="89" t="n">
        <x:v>2820</x:v>
      </x:c>
      <x:c r="N14" s="89" t="n">
        <x:v>0</x:v>
      </x:c>
      <x:c r="O14" s="89" t="n">
        <x:f>M14+N14</x:f>
        <x:v>2820</x:v>
      </x:c>
      <x:c r="P14" s="88" t="str">
        <x:f>IF(O14&lt;5000,"是","否")</x:f>
        <x:v>是</x:v>
      </x:c>
      <x:c r="Q14" s="90" t="str">
        <x:v>国内经济舱通常含20kg；出票前须按实际票价等级复核</x:v>
      </x:c>
      <x:c r="R14" s="90" t="str">
        <x:v>该去程对应的最低可订返程组合；具体返程航班需打开来源链接确认</x:v>
      </x:c>
      <x:c r="S14" s="91" t="n">
        <x:v>46267.74922974537</x:v>
      </x:c>
      <x:c r="T14" s="92" t="str">
        <x:v>https://www.google.com/travel/flights?hl=zh-CN&amp;curr=CNY&amp;q=Flights%20from%20Chongqing%20to%20DIG%20from%202026-10-03%20to%202026-10-09</x:v>
      </x:c>
      <x:c r="U14" s="136" t="n">
        <x:v>46304</x:v>
      </x:c>
      <x:c r="V14" s="90" t="str">
        <x:v>18:15</x:v>
      </x:c>
      <x:c r="W14" s="90" t="str">
        <x:v>迪庆香格里拉机场</x:v>
      </x:c>
      <x:c r="X14" s="137" t="n">
        <x:v>46304</x:v>
      </x:c>
      <x:c r="Y14" s="90" t="str">
        <x:v>20:00</x:v>
      </x:c>
      <x:c r="Z14" s="90" t="str">
        <x:v>重庆江北国际机场</x:v>
      </x:c>
      <x:c r="AA14" s="90" t="str">
        <x:v>重航</x:v>
      </x:c>
      <x:c r="AB14" s="90" t="n">
        <x:v>0</x:v>
      </x:c>
      <x:c r="AC14" s="90" t="str">
        <x:v>1 小时 45 分钟</x:v>
      </x:c>
      <x:c r="AD14" s="138"/>
      <x:c r="AE14" s="90" t="str">
        <x:v>当前返程列表无价格，采用排序第一条</x:v>
      </x:c>
      <x:c r="AF14" s="92" t="str">
        <x:v>https://www.google.com/travel/flights/search?tfs=CBwQAhpGEgoyMDI2LTEwLTAzIiAKA0NLRxIKMjAyNi0xMC0wMxoDRElHKgJPUTIEMjEwMWoNCAISCS9tLzAxNzIzNnIHCAESA0RJRxokEgoyMDI2LTEwLTA5agcIARIDRElHcg0IAhIJL20vMDE3MjM2QAFIAXABggELCP___________wGYAQE&amp;tfu=ClhDalJJTjI1cVh5MTFabXBWVjI5QlJYQXlkMUZDUnkwdExTMHRMWE5sZEc0eU5pMXVNVUZCUVVGQlIzRlpSRFpCU0dkelZpMUJFZ1pQVVRJeE1ERTRIUT09EgIIACIA&amp;hl=zh-CN&amp;curr=CNY</x:v>
      </x:c>
    </x:row>
    <x:row r="15" ht="42" customHeight="1">
      <x:c r="A15" s="85" t="n">
        <x:f>ROW()-7</x:f>
        <x:v>8</x:v>
      </x:c>
      <x:c r="B15" s="86" t="n">
        <x:v>46299</x:v>
      </x:c>
      <x:c r="C15" s="86" t="n">
        <x:v>46303</x:v>
      </x:c>
      <x:c r="D15" s="87" t="n">
        <x:v>4</x:v>
      </x:c>
      <x:c r="E15" s="88" t="str">
        <x:v>南航</x:v>
      </x:c>
      <x:c r="F15" s="88" t="str">
        <x:v>15:35</x:v>
      </x:c>
      <x:c r="G15" s="88" t="str">
        <x:v>17:35</x:v>
      </x:c>
      <x:c r="H15" s="88" t="str">
        <x:v>重庆江北国际机场</x:v>
      </x:c>
      <x:c r="I15" s="88" t="str">
        <x:v>迪庆香格里拉机场</x:v>
      </x:c>
      <x:c r="J15" s="88" t="n">
        <x:v>0</x:v>
      </x:c>
      <x:c r="K15" s="88" t="str">
        <x:v>—</x:v>
      </x:c>
      <x:c r="L15" s="88" t="str">
        <x:v>2 小时</x:v>
      </x:c>
      <x:c r="M15" s="89" t="n">
        <x:v>2820</x:v>
      </x:c>
      <x:c r="N15" s="89" t="n">
        <x:v>0</x:v>
      </x:c>
      <x:c r="O15" s="89" t="n">
        <x:f>M15+N15</x:f>
        <x:v>2820</x:v>
      </x:c>
      <x:c r="P15" s="88" t="str">
        <x:f>IF(O15&lt;5000,"是","否")</x:f>
        <x:v>是</x:v>
      </x:c>
      <x:c r="Q15" s="90" t="str">
        <x:v>国内经济舱通常含20kg；出票前须按实际票价等级复核</x:v>
      </x:c>
      <x:c r="R15" s="90" t="str">
        <x:v>该去程对应的最低可订返程组合；具体返程航班需打开来源链接确认</x:v>
      </x:c>
      <x:c r="S15" s="91" t="n">
        <x:v>46267.74922974537</x:v>
      </x:c>
      <x:c r="T15" s="92" t="str">
        <x:v>https://www.google.com/travel/flights?hl=zh-CN&amp;curr=CNY&amp;q=Flights%20from%20Chongqing%20to%20DIG%20from%202026-10-04%20to%202026-10-08</x:v>
      </x:c>
      <x:c r="U15" s="136" t="n">
        <x:v>46303</x:v>
      </x:c>
      <x:c r="V15" s="90" t="str">
        <x:v>18:15</x:v>
      </x:c>
      <x:c r="W15" s="90" t="str">
        <x:v>迪庆香格里拉机场</x:v>
      </x:c>
      <x:c r="X15" s="137" t="n">
        <x:v>46303</x:v>
      </x:c>
      <x:c r="Y15" s="90" t="str">
        <x:v>20:10</x:v>
      </x:c>
      <x:c r="Z15" s="90" t="str">
        <x:v>重庆江北国际机场</x:v>
      </x:c>
      <x:c r="AA15" s="90" t="str">
        <x:v>重航</x:v>
      </x:c>
      <x:c r="AB15" s="90" t="n">
        <x:v>0</x:v>
      </x:c>
      <x:c r="AC15" s="90" t="str">
        <x:v>1 小时 55 分钟</x:v>
      </x:c>
      <x:c r="AD15" s="138"/>
      <x:c r="AE15" s="90" t="str">
        <x:v>当前返程列表无价格，采用排序第一条</x:v>
      </x:c>
      <x:c r="AF15" s="92" t="str">
        <x:v>https://www.google.com/travel/flights/search?tfs=CBwQAhpGEgoyMDI2LTEwLTA0IiAKA0NLRxIKMjAyNi0xMC0wNBoDRElHKgJPUTIEMjEwMWoNCAISCS9tLzAxNzIzNnIHCAESA0RJRxokEgoyMDI2LTEwLTA4agcIARIDRElHcg0IAhIJL20vMDE3MjM2QAFIAXABggELCP___________wGYAQE&amp;tfu=ClhDalJJUjJOcVVEZzBWMGRIYlVWQlJYUklWWGRDUnkwdExTMHRMUzB0YzJWaVluVXpOVUZCUVVGQlIzRlpSRFpCU1Rsa01TMUJFZ1pQVVRJeE1ERTRIUT09EgIIACIA&amp;hl=zh-CN&amp;curr=CNY</x:v>
      </x:c>
    </x:row>
    <x:row r="16" ht="42" customHeight="1">
      <x:c r="A16" s="85" t="n">
        <x:f>ROW()-7</x:f>
        <x:v>9</x:v>
      </x:c>
      <x:c r="B16" s="86" t="n">
        <x:v>46299</x:v>
      </x:c>
      <x:c r="C16" s="86" t="n">
        <x:v>46304</x:v>
      </x:c>
      <x:c r="D16" s="87" t="n">
        <x:v>5</x:v>
      </x:c>
      <x:c r="E16" s="88" t="str">
        <x:v>南航</x:v>
      </x:c>
      <x:c r="F16" s="88" t="str">
        <x:v>15:35</x:v>
      </x:c>
      <x:c r="G16" s="88" t="str">
        <x:v>17:35</x:v>
      </x:c>
      <x:c r="H16" s="88" t="str">
        <x:v>重庆江北国际机场</x:v>
      </x:c>
      <x:c r="I16" s="88" t="str">
        <x:v>迪庆香格里拉机场</x:v>
      </x:c>
      <x:c r="J16" s="88" t="n">
        <x:v>0</x:v>
      </x:c>
      <x:c r="K16" s="88" t="str">
        <x:v>—</x:v>
      </x:c>
      <x:c r="L16" s="88" t="str">
        <x:v>2 小时</x:v>
      </x:c>
      <x:c r="M16" s="89" t="n">
        <x:v>2820</x:v>
      </x:c>
      <x:c r="N16" s="89" t="n">
        <x:v>0</x:v>
      </x:c>
      <x:c r="O16" s="89" t="n">
        <x:f>M16+N16</x:f>
        <x:v>2820</x:v>
      </x:c>
      <x:c r="P16" s="88" t="str">
        <x:f>IF(O16&lt;5000,"是","否")</x:f>
        <x:v>是</x:v>
      </x:c>
      <x:c r="Q16" s="90" t="str">
        <x:v>国内经济舱通常含20kg；出票前须按实际票价等级复核</x:v>
      </x:c>
      <x:c r="R16" s="90" t="str">
        <x:v>该去程对应的最低可订返程组合；具体返程航班需打开来源链接确认</x:v>
      </x:c>
      <x:c r="S16" s="91" t="n">
        <x:v>46267.74922974537</x:v>
      </x:c>
      <x:c r="T16" s="92" t="str">
        <x:v>https://www.google.com/travel/flights?hl=zh-CN&amp;curr=CNY&amp;q=Flights%20from%20Chongqing%20to%20DIG%20from%202026-10-04%20to%202026-10-09</x:v>
      </x:c>
      <x:c r="U16" s="136" t="n">
        <x:v>46304</x:v>
      </x:c>
      <x:c r="V16" s="90" t="str">
        <x:v>18:15</x:v>
      </x:c>
      <x:c r="W16" s="90" t="str">
        <x:v>迪庆香格里拉机场</x:v>
      </x:c>
      <x:c r="X16" s="137" t="n">
        <x:v>46304</x:v>
      </x:c>
      <x:c r="Y16" s="90" t="str">
        <x:v>20:00</x:v>
      </x:c>
      <x:c r="Z16" s="90" t="str">
        <x:v>重庆江北国际机场</x:v>
      </x:c>
      <x:c r="AA16" s="90" t="str">
        <x:v>重航</x:v>
      </x:c>
      <x:c r="AB16" s="90" t="n">
        <x:v>0</x:v>
      </x:c>
      <x:c r="AC16" s="90" t="str">
        <x:v>1 小时 45 分钟</x:v>
      </x:c>
      <x:c r="AD16" s="138"/>
      <x:c r="AE16" s="90" t="str">
        <x:v>当前返程列表无价格，采用排序第一条</x:v>
      </x:c>
      <x:c r="AF16" s="92" t="str">
        <x:v>https://www.google.com/travel/flights/search?tfs=CBwQAhpGEgoyMDI2LTEwLTA0IiAKA0NLRxIKMjAyNi0xMC0wNBoDRElHKgJPUTIEMjEwMWoNCAISCS9tLzAxNzIzNnIHCAESA0RJRxokEgoyMDI2LTEwLTA5agcIARIDRElHcg0IAhIJL20vMDE3MjM2QAFIAXABggELCP___________wGYAQE&amp;tfu=ClhDalJJUlROeFMwUnNXWFJRZEUxQlJXRkVPRkZDUnkwdExTMHRMWE50Y0hReE5DMXVNVUZCUVVGQlIzRlpSRFpaUzA5RE5IZEJFZ1pQVVRJeE1ERTRIUT09EgIIACIA&amp;hl=zh-CN&amp;curr=CNY</x:v>
      </x:c>
    </x:row>
    <x:row r="17" ht="42" customHeight="1">
      <x:c r="A17" s="93" t="n">
        <x:f>ROW()-7</x:f>
        <x:v>10</x:v>
      </x:c>
      <x:c r="B17" s="94" t="n">
        <x:v>46300</x:v>
      </x:c>
      <x:c r="C17" s="94" t="n">
        <x:v>46304</x:v>
      </x:c>
      <x:c r="D17" s="95" t="n">
        <x:v>4</x:v>
      </x:c>
      <x:c r="E17" s="96" t="str">
        <x:v>南航</x:v>
      </x:c>
      <x:c r="F17" s="96" t="str">
        <x:v>15:35</x:v>
      </x:c>
      <x:c r="G17" s="96" t="str">
        <x:v>17:35</x:v>
      </x:c>
      <x:c r="H17" s="96" t="str">
        <x:v>重庆江北国际机场</x:v>
      </x:c>
      <x:c r="I17" s="96" t="str">
        <x:v>迪庆香格里拉机场</x:v>
      </x:c>
      <x:c r="J17" s="96" t="n">
        <x:v>0</x:v>
      </x:c>
      <x:c r="K17" s="96" t="str">
        <x:v>—</x:v>
      </x:c>
      <x:c r="L17" s="96" t="str">
        <x:v>2 小时</x:v>
      </x:c>
      <x:c r="M17" s="97" t="n">
        <x:v>2820</x:v>
      </x:c>
      <x:c r="N17" s="97" t="n">
        <x:v>0</x:v>
      </x:c>
      <x:c r="O17" s="97" t="n">
        <x:f>M17+N17</x:f>
        <x:v>2820</x:v>
      </x:c>
      <x:c r="P17" s="96" t="str">
        <x:f>IF(O17&lt;5000,"是","否")</x:f>
        <x:v>是</x:v>
      </x:c>
      <x:c r="Q17" s="98" t="str">
        <x:v>国内经济舱通常含20kg；出票前须按实际票价等级复核</x:v>
      </x:c>
      <x:c r="R17" s="98" t="str">
        <x:v>该去程对应的最低可订返程组合；具体返程航班需打开来源链接确认</x:v>
      </x:c>
      <x:c r="S17" s="99" t="n">
        <x:v>46267.74922974537</x:v>
      </x:c>
      <x:c r="T17" s="100" t="str">
        <x:v>https://www.google.com/travel/flights?hl=zh-CN&amp;curr=CNY&amp;q=Flights%20from%20Chongqing%20to%20DIG%20from%202026-10-05%20to%202026-10-09</x:v>
      </x:c>
      <x:c r="U17" s="139" t="n">
        <x:v>46304</x:v>
      </x:c>
      <x:c r="V17" s="98" t="str">
        <x:v>18:15</x:v>
      </x:c>
      <x:c r="W17" s="98" t="str">
        <x:v>迪庆香格里拉机场</x:v>
      </x:c>
      <x:c r="X17" s="140" t="n">
        <x:v>46304</x:v>
      </x:c>
      <x:c r="Y17" s="98" t="str">
        <x:v>20:00</x:v>
      </x:c>
      <x:c r="Z17" s="98" t="str">
        <x:v>重庆江北国际机场</x:v>
      </x:c>
      <x:c r="AA17" s="98" t="str">
        <x:v>重航</x:v>
      </x:c>
      <x:c r="AB17" s="98" t="n">
        <x:v>0</x:v>
      </x:c>
      <x:c r="AC17" s="98" t="str">
        <x:v>1 小时 45 分钟</x:v>
      </x:c>
      <x:c r="AD17" s="141"/>
      <x:c r="AE17" s="98" t="str">
        <x:v>当前返程列表无价格，采用排序第一条</x:v>
      </x:c>
      <x:c r="AF17" s="100" t="str">
        <x:v>https://www.google.com/travel/flights/search?tfs=CBwQAhpGEgoyMDI2LTEwLTA1IiAKA0NLRxIKMjAyNi0xMC0wNRoDRElHKgJPUTIEMjEwMWoNCAISCS9tLzAxNzIzNnIHCAESA0RJRxokEgoyMDI2LTEwLTA5agcIARIDRElHcg0IAhIJL20vMDE3MjM2QAFIAXABggELCP___________wGYAQE&amp;tfu=ClhDalJJVEVWeVNtOXViVTh0ZVZGQlJYUnhkVkZDUnkwdExTMHRMUzB0TFMxelpXTmpPVUZCUVVGQlIzRlpSRFpaVERSaWRWbEJFZ1pQVVRJeE1ERTRIUT09EgIIACIA&amp;hl=zh-CN&amp;curr=CNY</x:v>
      </x:c>
    </x:row>
  </x:sheetData>
  <x:mergeCells>
    <x:mergeCell ref="A1:AF1"/>
    <x:mergeCell ref="A2:AF2"/>
    <x:mergeCell ref="A4:AF4"/>
    <x:mergeCell ref="A5:AF5"/>
  </x:mergeCells>
  <x:conditionalFormatting sqref="O8:O17">
    <x:cfRule type="cellIs" dxfId="4" priority="1" operator="lessThanOrEqual">
      <x:formula>3500</x:formula>
    </x:cfRule>
    <x:cfRule type="cellIs" dxfId="5" priority="2" operator="greaterThanOrEqual">
      <x:formula>4500</x:formula>
    </x:cfRule>
  </x:conditionalFormatting>
  <x:conditionalFormatting sqref="AE8:AE17">
    <x:cfRule type="containsText" dxfId="18" priority="3" operator="containsText" text="匹配原始"/>
    <x:cfRule type="containsText" dxfId="19" priority="4" operator="containsText" text="价格已变化"/>
    <x:cfRule type="containsText" dxfId="20" priority="5" operator="containsText" text="无价格"/>
    <x:cfRule type="containsText" dxfId="21" priority="6" operator="containsText" text="待核验"/>
    <x:cfRule type="containsText" dxfId="22" priority="7" operator="containsText" text="失败"/>
  </x:conditionalFormatting>
  <x:pageMargins left="0.7" right="0.7" top="0.75" bottom="0.75" header="0.3" footer="0.3"/>
  <x:tableParts count="2">
    <x:tablePart xmlns:r="http://schemas.openxmlformats.org/officeDocument/2006/relationships" r:id="Rfd4104158b9c45b7"/>
    <x:tablePart xmlns:r="http://schemas.openxmlformats.org/officeDocument/2006/relationships" r:id="Rd05b528676cb481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2" hidden="0" customWidth="1"/>
    <x:col min="4" max="4" width="8" hidden="0" customWidth="1"/>
    <x:col min="5" max="5" width="21" hidden="0" customWidth="1"/>
    <x:col min="6" max="6" width="10" hidden="0" customWidth="1"/>
    <x:col min="7" max="7" width="10" hidden="0" customWidth="1"/>
    <x:col min="8" max="8" width="24" hidden="0" customWidth="1"/>
    <x:col min="9" max="9" width="24" hidden="0" customWidth="1"/>
    <x:col min="10" max="10" width="8" hidden="0" customWidth="1"/>
    <x:col min="11" max="11" width="27" hidden="0" customWidth="1"/>
    <x:col min="12" max="12" width="14" hidden="0" customWidth="1"/>
    <x:col min="13" max="13" width="14" hidden="0" customWidth="1"/>
    <x:col min="14" max="14" width="14" hidden="0" customWidth="1"/>
    <x:col min="15" max="15" width="15" hidden="0" customWidth="1"/>
    <x:col min="16" max="16" width="13" hidden="0" customWidth="1"/>
    <x:col min="17" max="17" width="39" hidden="0" customWidth="1"/>
    <x:col min="18" max="18" width="42" hidden="0" customWidth="1"/>
    <x:col min="19" max="19" width="20" hidden="0" customWidth="1"/>
    <x:col min="20" max="20" width="58" hidden="0" customWidth="1"/>
    <x:col min="21" max="21" width="12" hidden="0" customWidth="1"/>
    <x:col min="22" max="22" width="10" hidden="0" customWidth="1"/>
    <x:col min="23" max="23" width="24" hidden="0" customWidth="1"/>
    <x:col min="24" max="24" width="12" hidden="0" customWidth="1"/>
    <x:col min="25" max="25" width="10" hidden="0" customWidth="1"/>
    <x:col min="26" max="26" width="24" hidden="0" customWidth="1"/>
    <x:col min="27" max="27" width="20" hidden="0" customWidth="1"/>
    <x:col min="28" max="28" width="9" hidden="0" customWidth="1"/>
    <x:col min="29" max="29" width="14" hidden="0" customWidth="1"/>
    <x:col min="30" max="30" width="14" hidden="0" customWidth="1"/>
    <x:col min="31" max="31" width="34" hidden="0" customWidth="1"/>
    <x:col min="32" max="32" width="58" hidden="0" customWidth="1"/>
  </x:cols>
  <x:sheetData>
    <x:row r="1" ht="32" customHeight="1">
      <x:c r="A1" s="101" t="str">
        <x:v>重庆 → 香格里拉（DIG） TOP10</x:v>
      </x:c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  <x:c r="N1" s="101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  <x:c r="AA1" s="101"/>
      <x:c r="AB1" s="101"/>
      <x:c r="AC1" s="101"/>
      <x:c r="AD1" s="101"/>
      <x:c r="AE1" s="101"/>
      <x:c r="AF1" s="101"/>
    </x:row>
    <x:row r="2" ht="28" customHeight="1">
      <x:c r="A2" s="104" t="str">
        <x:v>TOP10 从该路线全集合并后按“含20kg估算总价”升序选取；不是按单日最低价抽样。</x:v>
      </x:c>
      <x:c r="B2" s="104"/>
      <x:c r="C2" s="104"/>
      <x:c r="D2" s="104"/>
      <x:c r="E2" s="104"/>
      <x:c r="F2" s="104"/>
      <x:c r="G2" s="104"/>
      <x:c r="H2" s="104"/>
      <x:c r="I2" s="104"/>
      <x:c r="J2" s="104"/>
      <x:c r="K2" s="104"/>
      <x:c r="L2" s="104"/>
      <x:c r="M2" s="104"/>
      <x:c r="N2" s="104"/>
      <x:c r="O2" s="104"/>
      <x:c r="P2" s="104"/>
      <x:c r="Q2" s="104"/>
      <x:c r="R2" s="104"/>
      <x:c r="S2" s="104"/>
      <x:c r="T2" s="104"/>
      <x:c r="U2" s="104"/>
      <x:c r="V2" s="104"/>
      <x:c r="W2" s="104"/>
      <x:c r="X2" s="104"/>
      <x:c r="Y2" s="104"/>
      <x:c r="Z2" s="104"/>
      <x:c r="AA2" s="104"/>
      <x:c r="AB2" s="104"/>
      <x:c r="AC2" s="104"/>
      <x:c r="AD2" s="104"/>
      <x:c r="AE2" s="104"/>
      <x:c r="AF2" s="104"/>
    </x:row>
    <x:row r="3">
      <x:c r="A3" s="68" t="str">
        <x:v>方案数</x:v>
      </x:c>
      <x:c r="B3" s="68" t="n">
        <x:f>COUNTA(A8:A17)</x:f>
        <x:v>10</x:v>
      </x:c>
      <x:c r="C3" s="68"/>
      <x:c r="D3" s="68" t="str">
        <x:v>覆盖日期组合</x:v>
      </x:c>
      <x:c r="E3" s="68" t="str">
        <x:v>10/14</x:v>
      </x:c>
      <x:c r="F3" s="68"/>
      <x:c r="G3" s="68" t="str">
        <x:v>最低含行李价</x:v>
      </x:c>
      <x:c r="H3" s="69" t="n">
        <x:f>MIN(O8:O17)</x:f>
        <x:v>2820</x:v>
      </x:c>
      <x:c r="I3" s="68"/>
      <x:c r="J3" s="68" t="str">
        <x:v>最高合格价</x:v>
      </x:c>
      <x:c r="K3" s="69" t="n">
        <x:f>MAX(O8:O17)</x:f>
        <x:v>2820</x:v>
      </x:c>
      <x:c r="L3" s="68"/>
      <x:c r="M3" s="68" t="str">
        <x:v>价格上限</x:v>
      </x:c>
      <x:c r="N3" s="69" t="n">
        <x:v>5000</x:v>
      </x:c>
      <x:c r="O3" s="68"/>
      <x:c r="P3" s="68" t="str">
        <x:v>搜索时间</x:v>
      </x:c>
      <x:c r="Q3" s="70" t="n">
        <x:v>46267.752321875</x:v>
      </x:c>
      <x:c r="R3" s="71"/>
      <x:c r="S3" s="71"/>
      <x:c r="T3" s="71"/>
    </x:row>
    <x:row r="4" ht="28" customHeight="1">
      <x:c r="A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B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C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D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E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F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G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H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I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J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K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L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M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N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O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P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Q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R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S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T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U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V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W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X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Y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Z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A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B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C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D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E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F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</x:row>
    <x:row r="5" ht="34" customHeight="1">
      <x:c r="A5" s="110" t="str">
        <x:v>行李来源：春秋航空 https://www.ch.com/News/09931f418e51475d9bdee6c598343199.html；西部航空 https://www.westair.cn/stcontent/menupage/fe61b2ec-9adb-4033-9d00-3297748aa1cc/88f48e03-163c-4dd9-9229-8be70d1ba853/71901746-da70-4e43-84bc-f2d2c01278a3。传统航司按国内经济舱通常20kg处理，差异化航司采用保守预留，出票前仍须复核。</x:v>
      </x:c>
      <x:c r="B5" s="110"/>
      <x:c r="C5" s="110"/>
      <x:c r="D5" s="110"/>
      <x:c r="E5" s="110"/>
      <x:c r="F5" s="110"/>
      <x:c r="G5" s="110"/>
      <x:c r="H5" s="110"/>
      <x:c r="I5" s="110"/>
      <x:c r="J5" s="110"/>
      <x:c r="K5" s="110"/>
      <x:c r="L5" s="110"/>
      <x:c r="M5" s="110"/>
      <x:c r="N5" s="110"/>
      <x:c r="O5" s="110"/>
      <x:c r="P5" s="110"/>
      <x:c r="Q5" s="110"/>
      <x:c r="R5" s="110"/>
      <x:c r="S5" s="110"/>
      <x:c r="T5" s="110"/>
      <x:c r="U5" s="110"/>
      <x:c r="V5" s="110"/>
      <x:c r="W5" s="110"/>
      <x:c r="X5" s="110"/>
      <x:c r="Y5" s="110"/>
      <x:c r="Z5" s="110"/>
      <x:c r="AA5" s="110"/>
      <x:c r="AB5" s="110"/>
      <x:c r="AC5" s="110"/>
      <x:c r="AD5" s="110"/>
      <x:c r="AE5" s="110"/>
      <x:c r="AF5" s="110"/>
    </x:row>
    <x:row r="6">
      <x:c r="A6" s="71"/>
      <x:c r="B6" s="71"/>
      <x:c r="C6" s="71"/>
      <x:c r="D6" s="71"/>
      <x:c r="E6" s="71"/>
      <x:c r="F6" s="71"/>
      <x:c r="G6" s="71"/>
      <x:c r="H6" s="71"/>
      <x:c r="I6" s="71"/>
      <x:c r="J6" s="71"/>
      <x:c r="K6" s="71"/>
      <x:c r="L6" s="71"/>
      <x:c r="M6" s="71"/>
      <x:c r="N6" s="71"/>
      <x:c r="O6" s="71"/>
      <x:c r="P6" s="71"/>
      <x:c r="Q6" s="71"/>
      <x:c r="R6" s="71"/>
      <x:c r="S6" s="71"/>
      <x:c r="T6" s="71"/>
    </x:row>
    <x:row r="7" ht="34" customHeight="1">
      <x:c r="A7" s="74" t="str">
        <x:v>序号</x:v>
      </x:c>
      <x:c r="B7" s="75" t="str">
        <x:v>出发日期</x:v>
      </x:c>
      <x:c r="C7" s="75" t="str">
        <x:v>返程日期</x:v>
      </x:c>
      <x:c r="D7" s="75" t="str">
        <x:v>停留天数</x:v>
      </x:c>
      <x:c r="E7" s="75" t="str">
        <x:v>航空公司</x:v>
      </x:c>
      <x:c r="F7" s="75" t="str">
        <x:v>出发时间</x:v>
      </x:c>
      <x:c r="G7" s="75" t="str">
        <x:v>到达时间</x:v>
      </x:c>
      <x:c r="H7" s="75" t="str">
        <x:v>出发机场</x:v>
      </x:c>
      <x:c r="I7" s="75" t="str">
        <x:v>到达机场</x:v>
      </x:c>
      <x:c r="J7" s="75" t="str">
        <x:v>经停次数</x:v>
      </x:c>
      <x:c r="K7" s="75" t="str">
        <x:v>中转信息</x:v>
      </x:c>
      <x:c r="L7" s="75" t="str">
        <x:v>去程时长</x:v>
      </x:c>
      <x:c r="M7" s="75" t="str">
        <x:v>Google往返起价</x:v>
      </x:c>
      <x:c r="N7" s="75" t="str">
        <x:v>20kg行李估算</x:v>
      </x:c>
      <x:c r="O7" s="75" t="str">
        <x:v>含20kg估算总价</x:v>
      </x:c>
      <x:c r="P7" s="75" t="str">
        <x:v>严格低于¥5,000</x:v>
      </x:c>
      <x:c r="Q7" s="75" t="str">
        <x:v>行李口径</x:v>
      </x:c>
      <x:c r="R7" s="75" t="str">
        <x:v>返程说明</x:v>
      </x:c>
      <x:c r="S7" s="75" t="str">
        <x:v>搜索时间</x:v>
      </x:c>
      <x:c r="T7" s="76" t="str">
        <x:v>来源URL</x:v>
      </x:c>
      <x:c r="U7" s="124" t="str">
        <x:v>返程出发日期</x:v>
      </x:c>
      <x:c r="V7" s="125" t="str">
        <x:v>返程起飞时间</x:v>
      </x:c>
      <x:c r="W7" s="125" t="str">
        <x:v>返程出发机场</x:v>
      </x:c>
      <x:c r="X7" s="125" t="str">
        <x:v>返程到达日期</x:v>
      </x:c>
      <x:c r="Y7" s="125" t="str">
        <x:v>返程到达时间</x:v>
      </x:c>
      <x:c r="Z7" s="125" t="str">
        <x:v>返程到达机场</x:v>
      </x:c>
      <x:c r="AA7" s="125" t="str">
        <x:v>返程航空公司</x:v>
      </x:c>
      <x:c r="AB7" s="125" t="str">
        <x:v>返程经停次数</x:v>
      </x:c>
      <x:c r="AC7" s="125" t="str">
        <x:v>返程时长</x:v>
      </x:c>
      <x:c r="AD7" s="125" t="str">
        <x:v>当前返程总价</x:v>
      </x:c>
      <x:c r="AE7" s="125" t="str">
        <x:v>返程匹配状态</x:v>
      </x:c>
      <x:c r="AF7" s="126" t="str">
        <x:v>返程来源URL</x:v>
      </x:c>
    </x:row>
    <x:row r="8" ht="42" customHeight="1">
      <x:c r="A8" s="77" t="n">
        <x:f>ROW()-7</x:f>
        <x:v>1</x:v>
      </x:c>
      <x:c r="B8" s="78" t="n">
        <x:v>46296</x:v>
      </x:c>
      <x:c r="C8" s="78" t="n">
        <x:v>46301</x:v>
      </x:c>
      <x:c r="D8" s="79" t="n">
        <x:v>5</x:v>
      </x:c>
      <x:c r="E8" s="80" t="str">
        <x:v>南航</x:v>
      </x:c>
      <x:c r="F8" s="80" t="str">
        <x:v>15:35</x:v>
      </x:c>
      <x:c r="G8" s="80" t="str">
        <x:v>17:35</x:v>
      </x:c>
      <x:c r="H8" s="80" t="str">
        <x:v>重庆江北国际机场</x:v>
      </x:c>
      <x:c r="I8" s="80" t="str">
        <x:v>迪庆香格里拉机场</x:v>
      </x:c>
      <x:c r="J8" s="80" t="n">
        <x:v>0</x:v>
      </x:c>
      <x:c r="K8" s="80" t="str">
        <x:v>—</x:v>
      </x:c>
      <x:c r="L8" s="80" t="str">
        <x:v>2 小时</x:v>
      </x:c>
      <x:c r="M8" s="81" t="n">
        <x:v>2820</x:v>
      </x:c>
      <x:c r="N8" s="81" t="n">
        <x:v>0</x:v>
      </x:c>
      <x:c r="O8" s="81" t="n">
        <x:f>M8+N8</x:f>
        <x:v>2820</x:v>
      </x:c>
      <x:c r="P8" s="80" t="str">
        <x:f>IF(O8&lt;5000,"是","否")</x:f>
        <x:v>是</x:v>
      </x:c>
      <x:c r="Q8" s="82" t="str">
        <x:v>国内经济舱通常含20kg；出票前须按实际票价等级复核</x:v>
      </x:c>
      <x:c r="R8" s="82" t="str">
        <x:v>该去程对应的最低可订返程组合；具体返程航班需打开来源链接确认</x:v>
      </x:c>
      <x:c r="S8" s="83" t="n">
        <x:v>46267.74922974537</x:v>
      </x:c>
      <x:c r="T8" s="84" t="str">
        <x:v>https://www.google.com/travel/flights?hl=zh-CN&amp;curr=CNY&amp;q=Flights%20from%20Chongqing%20to%20DIG%20from%202026-10-01%20to%202026-10-06</x:v>
      </x:c>
      <x:c r="U8" s="133" t="n">
        <x:v>46301</x:v>
      </x:c>
      <x:c r="V8" s="82" t="str">
        <x:v>18:15</x:v>
      </x:c>
      <x:c r="W8" s="82" t="str">
        <x:v>迪庆香格里拉机场</x:v>
      </x:c>
      <x:c r="X8" s="134" t="n">
        <x:v>46301</x:v>
      </x:c>
      <x:c r="Y8" s="82" t="str">
        <x:v>20:10</x:v>
      </x:c>
      <x:c r="Z8" s="82" t="str">
        <x:v>重庆江北国际机场</x:v>
      </x:c>
      <x:c r="AA8" s="82" t="str">
        <x:v>重航</x:v>
      </x:c>
      <x:c r="AB8" s="82" t="n">
        <x:v>0</x:v>
      </x:c>
      <x:c r="AC8" s="82" t="str">
        <x:v>1 小时 55 分钟</x:v>
      </x:c>
      <x:c r="AD8" s="135"/>
      <x:c r="AE8" s="82" t="str">
        <x:v>当前返程列表无价格，采用排序第一条</x:v>
      </x:c>
      <x:c r="AF8" s="84" t="str">
        <x:v>https://www.google.com/travel/flights/search?tfs=CBwQAhpGEgoyMDI2LTEwLTAxIiAKA0NLRxIKMjAyNi0xMC0wMRoDRElHKgJPUTIEMjEwMWoNCAISCS9tLzAxNzIzNnIHCAESA0RJRxokEgoyMDI2LTEwLTA2agcIARIDRElHcg0IAhIJL20vMDE3MjM2QAFIAXABggELCP___________wGYAQE&amp;tfu=ClhDalJJTlU4M1RFRndjM05IY25OQlJtTmpXRkZDUnkwdExTMHRMUzB0TFhOdFltUm5ORUZCUVVGQlIzRlpSRFZ2Ulc5VVowVkJFZ1pQVVRJeE1ERTRIUT09EgIIACIA&amp;hl=zh-CN&amp;curr=CNY</x:v>
      </x:c>
    </x:row>
    <x:row r="9" ht="42" customHeight="1">
      <x:c r="A9" s="85" t="n">
        <x:f>ROW()-7</x:f>
        <x:v>2</x:v>
      </x:c>
      <x:c r="B9" s="86" t="n">
        <x:v>46296</x:v>
      </x:c>
      <x:c r="C9" s="86" t="n">
        <x:v>46302</x:v>
      </x:c>
      <x:c r="D9" s="87" t="n">
        <x:v>6</x:v>
      </x:c>
      <x:c r="E9" s="88" t="str">
        <x:v>南航</x:v>
      </x:c>
      <x:c r="F9" s="88" t="str">
        <x:v>15:35</x:v>
      </x:c>
      <x:c r="G9" s="88" t="str">
        <x:v>17:35</x:v>
      </x:c>
      <x:c r="H9" s="88" t="str">
        <x:v>重庆江北国际机场</x:v>
      </x:c>
      <x:c r="I9" s="88" t="str">
        <x:v>迪庆香格里拉机场</x:v>
      </x:c>
      <x:c r="J9" s="88" t="n">
        <x:v>0</x:v>
      </x:c>
      <x:c r="K9" s="88" t="str">
        <x:v>—</x:v>
      </x:c>
      <x:c r="L9" s="88" t="str">
        <x:v>2 小时</x:v>
      </x:c>
      <x:c r="M9" s="89" t="n">
        <x:v>2820</x:v>
      </x:c>
      <x:c r="N9" s="89" t="n">
        <x:v>0</x:v>
      </x:c>
      <x:c r="O9" s="89" t="n">
        <x:f>M9+N9</x:f>
        <x:v>2820</x:v>
      </x:c>
      <x:c r="P9" s="88" t="str">
        <x:f>IF(O9&lt;5000,"是","否")</x:f>
        <x:v>是</x:v>
      </x:c>
      <x:c r="Q9" s="90" t="str">
        <x:v>国内经济舱通常含20kg；出票前须按实际票价等级复核</x:v>
      </x:c>
      <x:c r="R9" s="90" t="str">
        <x:v>该去程对应的最低可订返程组合；具体返程航班需打开来源链接确认</x:v>
      </x:c>
      <x:c r="S9" s="91" t="n">
        <x:v>46267.74922974537</x:v>
      </x:c>
      <x:c r="T9" s="92" t="str">
        <x:v>https://www.google.com/travel/flights?hl=zh-CN&amp;curr=CNY&amp;q=Flights%20from%20Chongqing%20to%20DIG%20from%202026-10-01%20to%202026-10-07</x:v>
      </x:c>
      <x:c r="U9" s="136" t="n">
        <x:v>46302</x:v>
      </x:c>
      <x:c r="V9" s="90" t="str">
        <x:v>18:15</x:v>
      </x:c>
      <x:c r="W9" s="90" t="str">
        <x:v>迪庆香格里拉机场</x:v>
      </x:c>
      <x:c r="X9" s="137" t="n">
        <x:v>46302</x:v>
      </x:c>
      <x:c r="Y9" s="90" t="str">
        <x:v>20:00</x:v>
      </x:c>
      <x:c r="Z9" s="90" t="str">
        <x:v>重庆江北国际机场</x:v>
      </x:c>
      <x:c r="AA9" s="90" t="str">
        <x:v>重航</x:v>
      </x:c>
      <x:c r="AB9" s="90" t="n">
        <x:v>0</x:v>
      </x:c>
      <x:c r="AC9" s="90" t="str">
        <x:v>1 小时 45 分钟</x:v>
      </x:c>
      <x:c r="AD9" s="138"/>
      <x:c r="AE9" s="90" t="str">
        <x:v>当前返程列表无价格，采用排序第一条</x:v>
      </x:c>
      <x:c r="AF9" s="92" t="str">
        <x:v>https://www.google.com/travel/flights/search?tfs=CBwQAhpGEgoyMDI2LTEwLTAxIiAKA0NLRxIKMjAyNi0xMC0wMRoDRElHKgJPUTIEMjEwMWoNCAISCS9tLzAxNzIzNnIHCAESA0RJRxokEgoyMDI2LTEwLTA3agcIARIDRElHcg0IAhIJL20vMDE3MjM2QAFIAXABggELCP___________wGYAQE&amp;tfu=ClhDalJJUldWVWVrOVRPSFJGVkRCQlJWcGZaR2RDUnkwdExTMHRMUzB0TFhObFoyY3lOMEZCUVVGQlIzRlpSRFZ2UjBGcVFtVkJFZ1pQVVRJeE1ERTRIUT09EgIIACIA&amp;hl=zh-CN&amp;curr=CNY</x:v>
      </x:c>
    </x:row>
    <x:row r="10" ht="42" customHeight="1">
      <x:c r="A10" s="85" t="n">
        <x:f>ROW()-7</x:f>
        <x:v>3</x:v>
      </x:c>
      <x:c r="B10" s="86" t="n">
        <x:v>46296</x:v>
      </x:c>
      <x:c r="C10" s="86" t="n">
        <x:v>46303</x:v>
      </x:c>
      <x:c r="D10" s="87" t="n">
        <x:v>7</x:v>
      </x:c>
      <x:c r="E10" s="88" t="str">
        <x:v>南航</x:v>
      </x:c>
      <x:c r="F10" s="88" t="str">
        <x:v>15:35</x:v>
      </x:c>
      <x:c r="G10" s="88" t="str">
        <x:v>17:35</x:v>
      </x:c>
      <x:c r="H10" s="88" t="str">
        <x:v>重庆江北国际机场</x:v>
      </x:c>
      <x:c r="I10" s="88" t="str">
        <x:v>迪庆香格里拉机场</x:v>
      </x:c>
      <x:c r="J10" s="88" t="n">
        <x:v>0</x:v>
      </x:c>
      <x:c r="K10" s="88" t="str">
        <x:v>—</x:v>
      </x:c>
      <x:c r="L10" s="88" t="str">
        <x:v>2 小时</x:v>
      </x:c>
      <x:c r="M10" s="89" t="n">
        <x:v>2820</x:v>
      </x:c>
      <x:c r="N10" s="89" t="n">
        <x:v>0</x:v>
      </x:c>
      <x:c r="O10" s="89" t="n">
        <x:f>M10+N10</x:f>
        <x:v>2820</x:v>
      </x:c>
      <x:c r="P10" s="88" t="str">
        <x:f>IF(O10&lt;5000,"是","否")</x:f>
        <x:v>是</x:v>
      </x:c>
      <x:c r="Q10" s="90" t="str">
        <x:v>国内经济舱通常含20kg；出票前须按实际票价等级复核</x:v>
      </x:c>
      <x:c r="R10" s="90" t="str">
        <x:v>该去程对应的最低可订返程组合；具体返程航班需打开来源链接确认</x:v>
      </x:c>
      <x:c r="S10" s="91" t="n">
        <x:v>46267.74922974537</x:v>
      </x:c>
      <x:c r="T10" s="92" t="str">
        <x:v>https://www.google.com/travel/flights?hl=zh-CN&amp;curr=CNY&amp;q=Flights%20from%20Chongqing%20to%20DIG%20from%202026-10-01%20to%202026-10-08</x:v>
      </x:c>
      <x:c r="U10" s="136" t="n">
        <x:v>46303</x:v>
      </x:c>
      <x:c r="V10" s="90" t="str">
        <x:v>18:15</x:v>
      </x:c>
      <x:c r="W10" s="90" t="str">
        <x:v>迪庆香格里拉机场</x:v>
      </x:c>
      <x:c r="X10" s="137" t="n">
        <x:v>46303</x:v>
      </x:c>
      <x:c r="Y10" s="90" t="str">
        <x:v>20:10</x:v>
      </x:c>
      <x:c r="Z10" s="90" t="str">
        <x:v>重庆江北国际机场</x:v>
      </x:c>
      <x:c r="AA10" s="90" t="str">
        <x:v>重航</x:v>
      </x:c>
      <x:c r="AB10" s="90" t="n">
        <x:v>0</x:v>
      </x:c>
      <x:c r="AC10" s="90" t="str">
        <x:v>1 小时 55 分钟</x:v>
      </x:c>
      <x:c r="AD10" s="138"/>
      <x:c r="AE10" s="90" t="str">
        <x:v>当前返程列表无价格，采用排序第一条</x:v>
      </x:c>
      <x:c r="AF10" s="92" t="str">
        <x:v>https://www.google.com/travel/flights/search?tfs=CBwQAhpGEgoyMDI2LTEwLTAxIiAKA0NLRxIKMjAyNi0xMC0wMRoDRElHKgJPUTIEMjEwMWoNCAISCS9tLzAxNzIzNnIHCAESA0RJRxokEgoyMDI2LTEwLTA4agcIARIDRElHcg0IAhIJL20vMDE3MjM2QAFIAXABggELCP___________wGYAQE&amp;tfu=ClhDalJJZEU5VWJEQndRbVpTWVhkQlIybG9ibmRDUnkwdExTMHRMUzB0YzJWaVozSXpNMEZCUVVGQlIzRlpSRFZ2UmxKS1NtZEJFZ1pQVVRJeE1ERTRIUT09EgIIACIA&amp;hl=zh-CN&amp;curr=CNY</x:v>
      </x:c>
    </x:row>
    <x:row r="11" ht="42" customHeight="1">
      <x:c r="A11" s="85" t="n">
        <x:f>ROW()-7</x:f>
        <x:v>4</x:v>
      </x:c>
      <x:c r="B11" s="86" t="n">
        <x:v>46297</x:v>
      </x:c>
      <x:c r="C11" s="86" t="n">
        <x:v>46301</x:v>
      </x:c>
      <x:c r="D11" s="87" t="n">
        <x:v>4</x:v>
      </x:c>
      <x:c r="E11" s="88" t="str">
        <x:v>南航</x:v>
      </x:c>
      <x:c r="F11" s="88" t="str">
        <x:v>15:35</x:v>
      </x:c>
      <x:c r="G11" s="88" t="str">
        <x:v>17:35</x:v>
      </x:c>
      <x:c r="H11" s="88" t="str">
        <x:v>重庆江北国际机场</x:v>
      </x:c>
      <x:c r="I11" s="88" t="str">
        <x:v>迪庆香格里拉机场</x:v>
      </x:c>
      <x:c r="J11" s="88" t="n">
        <x:v>0</x:v>
      </x:c>
      <x:c r="K11" s="88" t="str">
        <x:v>—</x:v>
      </x:c>
      <x:c r="L11" s="88" t="str">
        <x:v>2 小时</x:v>
      </x:c>
      <x:c r="M11" s="89" t="n">
        <x:v>2820</x:v>
      </x:c>
      <x:c r="N11" s="89" t="n">
        <x:v>0</x:v>
      </x:c>
      <x:c r="O11" s="89" t="n">
        <x:f>M11+N11</x:f>
        <x:v>2820</x:v>
      </x:c>
      <x:c r="P11" s="88" t="str">
        <x:f>IF(O11&lt;5000,"是","否")</x:f>
        <x:v>是</x:v>
      </x:c>
      <x:c r="Q11" s="90" t="str">
        <x:v>国内经济舱通常含20kg；出票前须按实际票价等级复核</x:v>
      </x:c>
      <x:c r="R11" s="90" t="str">
        <x:v>该去程对应的最低可订返程组合；具体返程航班需打开来源链接确认</x:v>
      </x:c>
      <x:c r="S11" s="91" t="n">
        <x:v>46267.74922974537</x:v>
      </x:c>
      <x:c r="T11" s="92" t="str">
        <x:v>https://www.google.com/travel/flights?hl=zh-CN&amp;curr=CNY&amp;q=Flights%20from%20Chongqing%20to%20DIG%20from%202026-10-02%20to%202026-10-06</x:v>
      </x:c>
      <x:c r="U11" s="136" t="n">
        <x:v>46301</x:v>
      </x:c>
      <x:c r="V11" s="90" t="str">
        <x:v>18:15</x:v>
      </x:c>
      <x:c r="W11" s="90" t="str">
        <x:v>迪庆香格里拉机场</x:v>
      </x:c>
      <x:c r="X11" s="137" t="n">
        <x:v>46301</x:v>
      </x:c>
      <x:c r="Y11" s="90" t="str">
        <x:v>20:10</x:v>
      </x:c>
      <x:c r="Z11" s="90" t="str">
        <x:v>重庆江北国际机场</x:v>
      </x:c>
      <x:c r="AA11" s="90" t="str">
        <x:v>重航</x:v>
      </x:c>
      <x:c r="AB11" s="90" t="n">
        <x:v>0</x:v>
      </x:c>
      <x:c r="AC11" s="90" t="str">
        <x:v>1 小时 55 分钟</x:v>
      </x:c>
      <x:c r="AD11" s="138"/>
      <x:c r="AE11" s="90" t="str">
        <x:v>当前返程列表无价格，采用排序第一条</x:v>
      </x:c>
      <x:c r="AF11" s="92" t="str">
        <x:v>https://www.google.com/travel/flights/search?tfs=CBwQAhpGEgoyMDI2LTEwLTAyIiAKA0NLRxIKMjAyNi0xMC0wMhoDRElHKgJPUTIEMjEwMWoNCAISCS9tLzAxNzIzNnIHCAESA0RJRxokEgoyMDI2LTEwLTA2agcIARIDRElHcg0IAhIJL20vMDE3MjM2QAFIAXABggELCP___________wGYAQE&amp;tfu=ClhDalJJV0Raek9XaExUWEpYVGtsQlJYRXpXR2RDUnkwdExTMHRMUzF6WlhSdE9DMXVNVUZCUVVGQlIzRlpSRFZ2UmtKT1lubEJFZ1pQVVRJeE1ERTRIUT09EgIIACIA&amp;hl=zh-CN&amp;curr=CNY</x:v>
      </x:c>
    </x:row>
    <x:row r="12" ht="42" customHeight="1">
      <x:c r="A12" s="85" t="n">
        <x:f>ROW()-7</x:f>
        <x:v>5</x:v>
      </x:c>
      <x:c r="B12" s="86" t="n">
        <x:v>46297</x:v>
      </x:c>
      <x:c r="C12" s="86" t="n">
        <x:v>46303</x:v>
      </x:c>
      <x:c r="D12" s="87" t="n">
        <x:v>6</x:v>
      </x:c>
      <x:c r="E12" s="88" t="str">
        <x:v>南航</x:v>
      </x:c>
      <x:c r="F12" s="88" t="str">
        <x:v>15:35</x:v>
      </x:c>
      <x:c r="G12" s="88" t="str">
        <x:v>17:35</x:v>
      </x:c>
      <x:c r="H12" s="88" t="str">
        <x:v>重庆江北国际机场</x:v>
      </x:c>
      <x:c r="I12" s="88" t="str">
        <x:v>迪庆香格里拉机场</x:v>
      </x:c>
      <x:c r="J12" s="88" t="n">
        <x:v>0</x:v>
      </x:c>
      <x:c r="K12" s="88" t="str">
        <x:v>—</x:v>
      </x:c>
      <x:c r="L12" s="88" t="str">
        <x:v>2 小时</x:v>
      </x:c>
      <x:c r="M12" s="89" t="n">
        <x:v>2820</x:v>
      </x:c>
      <x:c r="N12" s="89" t="n">
        <x:v>0</x:v>
      </x:c>
      <x:c r="O12" s="89" t="n">
        <x:f>M12+N12</x:f>
        <x:v>2820</x:v>
      </x:c>
      <x:c r="P12" s="88" t="str">
        <x:f>IF(O12&lt;5000,"是","否")</x:f>
        <x:v>是</x:v>
      </x:c>
      <x:c r="Q12" s="90" t="str">
        <x:v>国内经济舱通常含20kg；出票前须按实际票价等级复核</x:v>
      </x:c>
      <x:c r="R12" s="90" t="str">
        <x:v>该去程对应的最低可订返程组合；具体返程航班需打开来源链接确认</x:v>
      </x:c>
      <x:c r="S12" s="91" t="n">
        <x:v>46267.74922974537</x:v>
      </x:c>
      <x:c r="T12" s="92" t="str">
        <x:v>https://www.google.com/travel/flights?hl=zh-CN&amp;curr=CNY&amp;q=Flights%20from%20Chongqing%20to%20DIG%20from%202026-10-02%20to%202026-10-08</x:v>
      </x:c>
      <x:c r="U12" s="136" t="n">
        <x:v>46303</x:v>
      </x:c>
      <x:c r="V12" s="90" t="str">
        <x:v>18:15</x:v>
      </x:c>
      <x:c r="W12" s="90" t="str">
        <x:v>迪庆香格里拉机场</x:v>
      </x:c>
      <x:c r="X12" s="137" t="n">
        <x:v>46303</x:v>
      </x:c>
      <x:c r="Y12" s="90" t="str">
        <x:v>20:10</x:v>
      </x:c>
      <x:c r="Z12" s="90" t="str">
        <x:v>重庆江北国际机场</x:v>
      </x:c>
      <x:c r="AA12" s="90" t="str">
        <x:v>重航</x:v>
      </x:c>
      <x:c r="AB12" s="90" t="n">
        <x:v>0</x:v>
      </x:c>
      <x:c r="AC12" s="90" t="str">
        <x:v>1 小时 55 分钟</x:v>
      </x:c>
      <x:c r="AD12" s="138"/>
      <x:c r="AE12" s="90" t="str">
        <x:v>当前返程列表无价格，采用排序第一条</x:v>
      </x:c>
      <x:c r="AF12" s="92" t="str">
        <x:v>https://www.google.com/travel/flights/search?tfs=CBwQAhpGEgoyMDI2LTEwLTAyIiAKA0NLRxIKMjAyNi0xMC0wMhoDRElHKgJPUTIEMjEwMWoNCAISCS9tLzAxNzIzNnIHCAESA0RJRxokEgoyMDI2LTEwLTA4agcIARIDRElHcg0IAhIJL20vMDE3MjM2QAFIAXABggELCP___________wGYAQE&amp;tfu=ClhDalJJTjI1cVh5MTFabXBWVjI5QlJYQXlNSGRDUnkwdExTMHRMWE5sZEc0eU5pMXVNVUZCUVVGQlIzRlpSRFpCU25sTk9YbEJFZ1pQVVRJeE1ERTRIUT09EgIIACIA&amp;hl=zh-CN&amp;curr=CNY</x:v>
      </x:c>
    </x:row>
    <x:row r="13" ht="42" customHeight="1">
      <x:c r="A13" s="85" t="n">
        <x:f>ROW()-7</x:f>
        <x:v>6</x:v>
      </x:c>
      <x:c r="B13" s="86" t="n">
        <x:v>46298</x:v>
      </x:c>
      <x:c r="C13" s="86" t="n">
        <x:v>46302</x:v>
      </x:c>
      <x:c r="D13" s="87" t="n">
        <x:v>4</x:v>
      </x:c>
      <x:c r="E13" s="88" t="str">
        <x:v>南航</x:v>
      </x:c>
      <x:c r="F13" s="88" t="str">
        <x:v>15:35</x:v>
      </x:c>
      <x:c r="G13" s="88" t="str">
        <x:v>17:35</x:v>
      </x:c>
      <x:c r="H13" s="88" t="str">
        <x:v>重庆江北国际机场</x:v>
      </x:c>
      <x:c r="I13" s="88" t="str">
        <x:v>迪庆香格里拉机场</x:v>
      </x:c>
      <x:c r="J13" s="88" t="n">
        <x:v>0</x:v>
      </x:c>
      <x:c r="K13" s="88" t="str">
        <x:v>—</x:v>
      </x:c>
      <x:c r="L13" s="88" t="str">
        <x:v>2 小时</x:v>
      </x:c>
      <x:c r="M13" s="89" t="n">
        <x:v>2820</x:v>
      </x:c>
      <x:c r="N13" s="89" t="n">
        <x:v>0</x:v>
      </x:c>
      <x:c r="O13" s="89" t="n">
        <x:f>M13+N13</x:f>
        <x:v>2820</x:v>
      </x:c>
      <x:c r="P13" s="88" t="str">
        <x:f>IF(O13&lt;5000,"是","否")</x:f>
        <x:v>是</x:v>
      </x:c>
      <x:c r="Q13" s="90" t="str">
        <x:v>国内经济舱通常含20kg；出票前须按实际票价等级复核</x:v>
      </x:c>
      <x:c r="R13" s="90" t="str">
        <x:v>该去程对应的最低可订返程组合；具体返程航班需打开来源链接确认</x:v>
      </x:c>
      <x:c r="S13" s="91" t="n">
        <x:v>46267.74922974537</x:v>
      </x:c>
      <x:c r="T13" s="92" t="str">
        <x:v>https://www.google.com/travel/flights?hl=zh-CN&amp;curr=CNY&amp;q=Flights%20from%20Chongqing%20to%20DIG%20from%202026-10-03%20to%202026-10-07</x:v>
      </x:c>
      <x:c r="U13" s="136" t="n">
        <x:v>46302</x:v>
      </x:c>
      <x:c r="V13" s="90" t="str">
        <x:v>18:15</x:v>
      </x:c>
      <x:c r="W13" s="90" t="str">
        <x:v>迪庆香格里拉机场</x:v>
      </x:c>
      <x:c r="X13" s="137" t="n">
        <x:v>46302</x:v>
      </x:c>
      <x:c r="Y13" s="90" t="str">
        <x:v>20:00</x:v>
      </x:c>
      <x:c r="Z13" s="90" t="str">
        <x:v>重庆江北国际机场</x:v>
      </x:c>
      <x:c r="AA13" s="90" t="str">
        <x:v>重航</x:v>
      </x:c>
      <x:c r="AB13" s="90" t="n">
        <x:v>0</x:v>
      </x:c>
      <x:c r="AC13" s="90" t="str">
        <x:v>1 小时 45 分钟</x:v>
      </x:c>
      <x:c r="AD13" s="138"/>
      <x:c r="AE13" s="90" t="str">
        <x:v>当前返程列表无价格，采用排序第一条</x:v>
      </x:c>
      <x:c r="AF13" s="92" t="str">
        <x:v>https://www.google.com/travel/flights/search?tfs=CBwQAhpGEgoyMDI2LTEwLTAzIiAKA0NLRxIKMjAyNi0xMC0wMxoDRElHKgJPUTIEMjEwMWoNCAISCS9tLzAxNzIzNnIHCAESA0RJRxokEgoyMDI2LTEwLTA3agcIARIDRElHcg0IAhIJL20vMDE3MjM2QAFIAXABggELCP___________wGYAQE&amp;tfu=ClhDalJJUjJOcVVEZzBWMGRIYlVWQlJYUklWMEZDUnkwdExTMHRMUzB0YzJWaVluVXpOVUZCUVVGQlIzRlpSRFpCU21SUGNtbEJFZ1pQVVRJeE1ERTRIUT09EgIIACIA&amp;hl=zh-CN&amp;curr=CNY</x:v>
      </x:c>
    </x:row>
    <x:row r="14" ht="42" customHeight="1">
      <x:c r="A14" s="85" t="n">
        <x:f>ROW()-7</x:f>
        <x:v>7</x:v>
      </x:c>
      <x:c r="B14" s="86" t="n">
        <x:v>46298</x:v>
      </x:c>
      <x:c r="C14" s="86" t="n">
        <x:v>46304</x:v>
      </x:c>
      <x:c r="D14" s="87" t="n">
        <x:v>6</x:v>
      </x:c>
      <x:c r="E14" s="88" t="str">
        <x:v>南航</x:v>
      </x:c>
      <x:c r="F14" s="88" t="str">
        <x:v>15:35</x:v>
      </x:c>
      <x:c r="G14" s="88" t="str">
        <x:v>17:35</x:v>
      </x:c>
      <x:c r="H14" s="88" t="str">
        <x:v>重庆江北国际机场</x:v>
      </x:c>
      <x:c r="I14" s="88" t="str">
        <x:v>迪庆香格里拉机场</x:v>
      </x:c>
      <x:c r="J14" s="88" t="n">
        <x:v>0</x:v>
      </x:c>
      <x:c r="K14" s="88" t="str">
        <x:v>—</x:v>
      </x:c>
      <x:c r="L14" s="88" t="str">
        <x:v>2 小时</x:v>
      </x:c>
      <x:c r="M14" s="89" t="n">
        <x:v>2820</x:v>
      </x:c>
      <x:c r="N14" s="89" t="n">
        <x:v>0</x:v>
      </x:c>
      <x:c r="O14" s="89" t="n">
        <x:f>M14+N14</x:f>
        <x:v>2820</x:v>
      </x:c>
      <x:c r="P14" s="88" t="str">
        <x:f>IF(O14&lt;5000,"是","否")</x:f>
        <x:v>是</x:v>
      </x:c>
      <x:c r="Q14" s="90" t="str">
        <x:v>国内经济舱通常含20kg；出票前须按实际票价等级复核</x:v>
      </x:c>
      <x:c r="R14" s="90" t="str">
        <x:v>该去程对应的最低可订返程组合；具体返程航班需打开来源链接确认</x:v>
      </x:c>
      <x:c r="S14" s="91" t="n">
        <x:v>46267.74922974537</x:v>
      </x:c>
      <x:c r="T14" s="92" t="str">
        <x:v>https://www.google.com/travel/flights?hl=zh-CN&amp;curr=CNY&amp;q=Flights%20from%20Chongqing%20to%20DIG%20from%202026-10-03%20to%202026-10-09</x:v>
      </x:c>
      <x:c r="U14" s="136" t="n">
        <x:v>46304</x:v>
      </x:c>
      <x:c r="V14" s="90" t="str">
        <x:v>18:15</x:v>
      </x:c>
      <x:c r="W14" s="90" t="str">
        <x:v>迪庆香格里拉机场</x:v>
      </x:c>
      <x:c r="X14" s="137" t="n">
        <x:v>46304</x:v>
      </x:c>
      <x:c r="Y14" s="90" t="str">
        <x:v>20:00</x:v>
      </x:c>
      <x:c r="Z14" s="90" t="str">
        <x:v>重庆江北国际机场</x:v>
      </x:c>
      <x:c r="AA14" s="90" t="str">
        <x:v>重航</x:v>
      </x:c>
      <x:c r="AB14" s="90" t="n">
        <x:v>0</x:v>
      </x:c>
      <x:c r="AC14" s="90" t="str">
        <x:v>1 小时 45 分钟</x:v>
      </x:c>
      <x:c r="AD14" s="138"/>
      <x:c r="AE14" s="90" t="str">
        <x:v>当前返程列表无价格，采用排序第一条</x:v>
      </x:c>
      <x:c r="AF14" s="92" t="str">
        <x:v>https://www.google.com/travel/flights/search?tfs=CBwQAhpGEgoyMDI2LTEwLTAzIiAKA0NLRxIKMjAyNi0xMC0wMxoDRElHKgJPUTIEMjEwMWoNCAISCS9tLzAxNzIzNnIHCAESA0RJRxokEgoyMDI2LTEwLTA5agcIARIDRElHcg0IAhIJL20vMDE3MjM2QAFIAXABggELCP___________wGYAQE&amp;tfu=ClhDalJJTjI1cVh5MTFabXBWVjI5QlJYQXlkMUZDUnkwdExTMHRMWE5sZEc0eU5pMXVNVUZCUVVGQlIzRlpSRFpCU0dkelZpMUJFZ1pQVVRJeE1ERTRIUT09EgIIACIA&amp;hl=zh-CN&amp;curr=CNY</x:v>
      </x:c>
    </x:row>
    <x:row r="15" ht="42" customHeight="1">
      <x:c r="A15" s="85" t="n">
        <x:f>ROW()-7</x:f>
        <x:v>8</x:v>
      </x:c>
      <x:c r="B15" s="86" t="n">
        <x:v>46299</x:v>
      </x:c>
      <x:c r="C15" s="86" t="n">
        <x:v>46303</x:v>
      </x:c>
      <x:c r="D15" s="87" t="n">
        <x:v>4</x:v>
      </x:c>
      <x:c r="E15" s="88" t="str">
        <x:v>南航</x:v>
      </x:c>
      <x:c r="F15" s="88" t="str">
        <x:v>15:35</x:v>
      </x:c>
      <x:c r="G15" s="88" t="str">
        <x:v>17:35</x:v>
      </x:c>
      <x:c r="H15" s="88" t="str">
        <x:v>重庆江北国际机场</x:v>
      </x:c>
      <x:c r="I15" s="88" t="str">
        <x:v>迪庆香格里拉机场</x:v>
      </x:c>
      <x:c r="J15" s="88" t="n">
        <x:v>0</x:v>
      </x:c>
      <x:c r="K15" s="88" t="str">
        <x:v>—</x:v>
      </x:c>
      <x:c r="L15" s="88" t="str">
        <x:v>2 小时</x:v>
      </x:c>
      <x:c r="M15" s="89" t="n">
        <x:v>2820</x:v>
      </x:c>
      <x:c r="N15" s="89" t="n">
        <x:v>0</x:v>
      </x:c>
      <x:c r="O15" s="89" t="n">
        <x:f>M15+N15</x:f>
        <x:v>2820</x:v>
      </x:c>
      <x:c r="P15" s="88" t="str">
        <x:f>IF(O15&lt;5000,"是","否")</x:f>
        <x:v>是</x:v>
      </x:c>
      <x:c r="Q15" s="90" t="str">
        <x:v>国内经济舱通常含20kg；出票前须按实际票价等级复核</x:v>
      </x:c>
      <x:c r="R15" s="90" t="str">
        <x:v>该去程对应的最低可订返程组合；具体返程航班需打开来源链接确认</x:v>
      </x:c>
      <x:c r="S15" s="91" t="n">
        <x:v>46267.74922974537</x:v>
      </x:c>
      <x:c r="T15" s="92" t="str">
        <x:v>https://www.google.com/travel/flights?hl=zh-CN&amp;curr=CNY&amp;q=Flights%20from%20Chongqing%20to%20DIG%20from%202026-10-04%20to%202026-10-08</x:v>
      </x:c>
      <x:c r="U15" s="136" t="n">
        <x:v>46303</x:v>
      </x:c>
      <x:c r="V15" s="90" t="str">
        <x:v>18:15</x:v>
      </x:c>
      <x:c r="W15" s="90" t="str">
        <x:v>迪庆香格里拉机场</x:v>
      </x:c>
      <x:c r="X15" s="137" t="n">
        <x:v>46303</x:v>
      </x:c>
      <x:c r="Y15" s="90" t="str">
        <x:v>20:10</x:v>
      </x:c>
      <x:c r="Z15" s="90" t="str">
        <x:v>重庆江北国际机场</x:v>
      </x:c>
      <x:c r="AA15" s="90" t="str">
        <x:v>重航</x:v>
      </x:c>
      <x:c r="AB15" s="90" t="n">
        <x:v>0</x:v>
      </x:c>
      <x:c r="AC15" s="90" t="str">
        <x:v>1 小时 55 分钟</x:v>
      </x:c>
      <x:c r="AD15" s="138"/>
      <x:c r="AE15" s="90" t="str">
        <x:v>当前返程列表无价格，采用排序第一条</x:v>
      </x:c>
      <x:c r="AF15" s="92" t="str">
        <x:v>https://www.google.com/travel/flights/search?tfs=CBwQAhpGEgoyMDI2LTEwLTA0IiAKA0NLRxIKMjAyNi0xMC0wNBoDRElHKgJPUTIEMjEwMWoNCAISCS9tLzAxNzIzNnIHCAESA0RJRxokEgoyMDI2LTEwLTA4agcIARIDRElHcg0IAhIJL20vMDE3MjM2QAFIAXABggELCP___________wGYAQE&amp;tfu=ClhDalJJUjJOcVVEZzBWMGRIYlVWQlJYUklWWGRDUnkwdExTMHRMUzB0YzJWaVluVXpOVUZCUVVGQlIzRlpSRFpCU1Rsa01TMUJFZ1pQVVRJeE1ERTRIUT09EgIIACIA&amp;hl=zh-CN&amp;curr=CNY</x:v>
      </x:c>
    </x:row>
    <x:row r="16" ht="42" customHeight="1">
      <x:c r="A16" s="85" t="n">
        <x:f>ROW()-7</x:f>
        <x:v>9</x:v>
      </x:c>
      <x:c r="B16" s="86" t="n">
        <x:v>46299</x:v>
      </x:c>
      <x:c r="C16" s="86" t="n">
        <x:v>46304</x:v>
      </x:c>
      <x:c r="D16" s="87" t="n">
        <x:v>5</x:v>
      </x:c>
      <x:c r="E16" s="88" t="str">
        <x:v>南航</x:v>
      </x:c>
      <x:c r="F16" s="88" t="str">
        <x:v>15:35</x:v>
      </x:c>
      <x:c r="G16" s="88" t="str">
        <x:v>17:35</x:v>
      </x:c>
      <x:c r="H16" s="88" t="str">
        <x:v>重庆江北国际机场</x:v>
      </x:c>
      <x:c r="I16" s="88" t="str">
        <x:v>迪庆香格里拉机场</x:v>
      </x:c>
      <x:c r="J16" s="88" t="n">
        <x:v>0</x:v>
      </x:c>
      <x:c r="K16" s="88" t="str">
        <x:v>—</x:v>
      </x:c>
      <x:c r="L16" s="88" t="str">
        <x:v>2 小时</x:v>
      </x:c>
      <x:c r="M16" s="89" t="n">
        <x:v>2820</x:v>
      </x:c>
      <x:c r="N16" s="89" t="n">
        <x:v>0</x:v>
      </x:c>
      <x:c r="O16" s="89" t="n">
        <x:f>M16+N16</x:f>
        <x:v>2820</x:v>
      </x:c>
      <x:c r="P16" s="88" t="str">
        <x:f>IF(O16&lt;5000,"是","否")</x:f>
        <x:v>是</x:v>
      </x:c>
      <x:c r="Q16" s="90" t="str">
        <x:v>国内经济舱通常含20kg；出票前须按实际票价等级复核</x:v>
      </x:c>
      <x:c r="R16" s="90" t="str">
        <x:v>该去程对应的最低可订返程组合；具体返程航班需打开来源链接确认</x:v>
      </x:c>
      <x:c r="S16" s="91" t="n">
        <x:v>46267.74922974537</x:v>
      </x:c>
      <x:c r="T16" s="92" t="str">
        <x:v>https://www.google.com/travel/flights?hl=zh-CN&amp;curr=CNY&amp;q=Flights%20from%20Chongqing%20to%20DIG%20from%202026-10-04%20to%202026-10-09</x:v>
      </x:c>
      <x:c r="U16" s="136" t="n">
        <x:v>46304</x:v>
      </x:c>
      <x:c r="V16" s="90" t="str">
        <x:v>18:15</x:v>
      </x:c>
      <x:c r="W16" s="90" t="str">
        <x:v>迪庆香格里拉机场</x:v>
      </x:c>
      <x:c r="X16" s="137" t="n">
        <x:v>46304</x:v>
      </x:c>
      <x:c r="Y16" s="90" t="str">
        <x:v>20:00</x:v>
      </x:c>
      <x:c r="Z16" s="90" t="str">
        <x:v>重庆江北国际机场</x:v>
      </x:c>
      <x:c r="AA16" s="90" t="str">
        <x:v>重航</x:v>
      </x:c>
      <x:c r="AB16" s="90" t="n">
        <x:v>0</x:v>
      </x:c>
      <x:c r="AC16" s="90" t="str">
        <x:v>1 小时 45 分钟</x:v>
      </x:c>
      <x:c r="AD16" s="138"/>
      <x:c r="AE16" s="90" t="str">
        <x:v>当前返程列表无价格，采用排序第一条</x:v>
      </x:c>
      <x:c r="AF16" s="92" t="str">
        <x:v>https://www.google.com/travel/flights/search?tfs=CBwQAhpGEgoyMDI2LTEwLTA0IiAKA0NLRxIKMjAyNi0xMC0wNBoDRElHKgJPUTIEMjEwMWoNCAISCS9tLzAxNzIzNnIHCAESA0RJRxokEgoyMDI2LTEwLTA5agcIARIDRElHcg0IAhIJL20vMDE3MjM2QAFIAXABggELCP___________wGYAQE&amp;tfu=ClhDalJJUlROeFMwUnNXWFJRZEUxQlJXRkVPRkZDUnkwdExTMHRMWE50Y0hReE5DMXVNVUZCUVVGQlIzRlpSRFpaUzA5RE5IZEJFZ1pQVVRJeE1ERTRIUT09EgIIACIA&amp;hl=zh-CN&amp;curr=CNY</x:v>
      </x:c>
    </x:row>
    <x:row r="17" ht="42" customHeight="1">
      <x:c r="A17" s="93" t="n">
        <x:f>ROW()-7</x:f>
        <x:v>10</x:v>
      </x:c>
      <x:c r="B17" s="94" t="n">
        <x:v>46300</x:v>
      </x:c>
      <x:c r="C17" s="94" t="n">
        <x:v>46304</x:v>
      </x:c>
      <x:c r="D17" s="95" t="n">
        <x:v>4</x:v>
      </x:c>
      <x:c r="E17" s="96" t="str">
        <x:v>南航</x:v>
      </x:c>
      <x:c r="F17" s="96" t="str">
        <x:v>15:35</x:v>
      </x:c>
      <x:c r="G17" s="96" t="str">
        <x:v>17:35</x:v>
      </x:c>
      <x:c r="H17" s="96" t="str">
        <x:v>重庆江北国际机场</x:v>
      </x:c>
      <x:c r="I17" s="96" t="str">
        <x:v>迪庆香格里拉机场</x:v>
      </x:c>
      <x:c r="J17" s="96" t="n">
        <x:v>0</x:v>
      </x:c>
      <x:c r="K17" s="96" t="str">
        <x:v>—</x:v>
      </x:c>
      <x:c r="L17" s="96" t="str">
        <x:v>2 小时</x:v>
      </x:c>
      <x:c r="M17" s="97" t="n">
        <x:v>2820</x:v>
      </x:c>
      <x:c r="N17" s="97" t="n">
        <x:v>0</x:v>
      </x:c>
      <x:c r="O17" s="97" t="n">
        <x:f>M17+N17</x:f>
        <x:v>2820</x:v>
      </x:c>
      <x:c r="P17" s="96" t="str">
        <x:f>IF(O17&lt;5000,"是","否")</x:f>
        <x:v>是</x:v>
      </x:c>
      <x:c r="Q17" s="98" t="str">
        <x:v>国内经济舱通常含20kg；出票前须按实际票价等级复核</x:v>
      </x:c>
      <x:c r="R17" s="98" t="str">
        <x:v>该去程对应的最低可订返程组合；具体返程航班需打开来源链接确认</x:v>
      </x:c>
      <x:c r="S17" s="99" t="n">
        <x:v>46267.74922974537</x:v>
      </x:c>
      <x:c r="T17" s="100" t="str">
        <x:v>https://www.google.com/travel/flights?hl=zh-CN&amp;curr=CNY&amp;q=Flights%20from%20Chongqing%20to%20DIG%20from%202026-10-05%20to%202026-10-09</x:v>
      </x:c>
      <x:c r="U17" s="139" t="n">
        <x:v>46304</x:v>
      </x:c>
      <x:c r="V17" s="98" t="str">
        <x:v>18:15</x:v>
      </x:c>
      <x:c r="W17" s="98" t="str">
        <x:v>迪庆香格里拉机场</x:v>
      </x:c>
      <x:c r="X17" s="140" t="n">
        <x:v>46304</x:v>
      </x:c>
      <x:c r="Y17" s="98" t="str">
        <x:v>20:00</x:v>
      </x:c>
      <x:c r="Z17" s="98" t="str">
        <x:v>重庆江北国际机场</x:v>
      </x:c>
      <x:c r="AA17" s="98" t="str">
        <x:v>重航</x:v>
      </x:c>
      <x:c r="AB17" s="98" t="n">
        <x:v>0</x:v>
      </x:c>
      <x:c r="AC17" s="98" t="str">
        <x:v>1 小时 45 分钟</x:v>
      </x:c>
      <x:c r="AD17" s="141"/>
      <x:c r="AE17" s="98" t="str">
        <x:v>当前返程列表无价格，采用排序第一条</x:v>
      </x:c>
      <x:c r="AF17" s="100" t="str">
        <x:v>https://www.google.com/travel/flights/search?tfs=CBwQAhpGEgoyMDI2LTEwLTA1IiAKA0NLRxIKMjAyNi0xMC0wNRoDRElHKgJPUTIEMjEwMWoNCAISCS9tLzAxNzIzNnIHCAESA0RJRxokEgoyMDI2LTEwLTA5agcIARIDRElHcg0IAhIJL20vMDE3MjM2QAFIAXABggELCP___________wGYAQE&amp;tfu=ClhDalJJVEVWeVNtOXViVTh0ZVZGQlJYUnhkVkZDUnkwdExTMHRMUzB0TFMxelpXTmpPVUZCUVVGQlIzRlpSRFpaVERSaWRWbEJFZ1pQVVRJeE1ERTRIUT09EgIIACIA&amp;hl=zh-CN&amp;curr=CNY</x:v>
      </x:c>
    </x:row>
  </x:sheetData>
  <x:mergeCells>
    <x:mergeCell ref="A1:AF1"/>
    <x:mergeCell ref="A2:AF2"/>
    <x:mergeCell ref="A4:AF4"/>
    <x:mergeCell ref="A5:AF5"/>
  </x:mergeCells>
  <x:conditionalFormatting sqref="O8:O17">
    <x:cfRule type="cellIs" dxfId="6" priority="1" operator="lessThanOrEqual">
      <x:formula>3500</x:formula>
    </x:cfRule>
    <x:cfRule type="cellIs" dxfId="7" priority="2" operator="greaterThanOrEqual">
      <x:formula>4500</x:formula>
    </x:cfRule>
  </x:conditionalFormatting>
  <x:conditionalFormatting sqref="AE8:AE17">
    <x:cfRule type="containsText" dxfId="23" priority="3" operator="containsText" text="匹配原始"/>
    <x:cfRule type="containsText" dxfId="24" priority="4" operator="containsText" text="价格已变化"/>
    <x:cfRule type="containsText" dxfId="25" priority="5" operator="containsText" text="无价格"/>
    <x:cfRule type="containsText" dxfId="26" priority="6" operator="containsText" text="待核验"/>
    <x:cfRule type="containsText" dxfId="27" priority="7" operator="containsText" text="失败"/>
  </x:conditionalFormatting>
  <x:pageMargins left="0.7" right="0.7" top="0.75" bottom="0.75" header="0.3" footer="0.3"/>
  <x:tableParts count="2">
    <x:tablePart xmlns:r="http://schemas.openxmlformats.org/officeDocument/2006/relationships" r:id="R0861eca990c644f1"/>
    <x:tablePart xmlns:r="http://schemas.openxmlformats.org/officeDocument/2006/relationships" r:id="R54de68c247694f24"/>
  </x:tableParts>
</x:worksheet>
</file>